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166925"/>
  <mc:AlternateContent xmlns:mc="http://schemas.openxmlformats.org/markup-compatibility/2006">
    <mc:Choice Requires="x15">
      <x15ac:absPath xmlns:x15ac="http://schemas.microsoft.com/office/spreadsheetml/2010/11/ac" url="\\IRONSERVER\Scheduling\"/>
    </mc:Choice>
  </mc:AlternateContent>
  <xr:revisionPtr revIDLastSave="0" documentId="13_ncr:1_{42F05340-B869-4F96-BE32-89FB5CBEF572}" xr6:coauthVersionLast="47" xr6:coauthVersionMax="47" xr10:uidLastSave="{00000000-0000-0000-0000-000000000000}"/>
  <bookViews>
    <workbookView xWindow="-120" yWindow="-120" windowWidth="29040" windowHeight="15720" activeTab="1" xr2:uid="{0967BFDE-224E-4D15-B7FF-495BFCD70F59}"/>
  </bookViews>
  <sheets>
    <sheet name="Sheet1" sheetId="1" r:id="rId1"/>
    <sheet name="Chart" sheetId="2" r:id="rId2"/>
  </sheets>
  <definedNames>
    <definedName name="_xlnm.Print_Area" localSheetId="1">Chart!$A$3:$T$57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8" i="1" l="1"/>
  <c r="L15" i="1"/>
  <c r="L10" i="1"/>
  <c r="K18" i="1"/>
  <c r="K10" i="1"/>
  <c r="J18" i="1"/>
  <c r="J10" i="1"/>
  <c r="I18" i="1"/>
  <c r="I10" i="1"/>
  <c r="H18" i="1"/>
  <c r="H10" i="1"/>
  <c r="G18" i="1"/>
  <c r="G10" i="1"/>
  <c r="F18" i="1"/>
  <c r="F10" i="1"/>
  <c r="E18" i="1"/>
  <c r="E10" i="1"/>
  <c r="D18" i="1"/>
  <c r="D10" i="1"/>
  <c r="C18" i="1"/>
  <c r="C10" i="1"/>
  <c r="BB38" i="1"/>
  <c r="BB30" i="1"/>
  <c r="BA38" i="1"/>
  <c r="BA30" i="1"/>
  <c r="AY38" i="1"/>
  <c r="AY30" i="1"/>
  <c r="AX38" i="1"/>
  <c r="AX30" i="1"/>
  <c r="AW38" i="1"/>
  <c r="AW30" i="1"/>
  <c r="AV38" i="1"/>
  <c r="AV30" i="1"/>
  <c r="AU38" i="1"/>
  <c r="AU30" i="1"/>
  <c r="AT38" i="1"/>
  <c r="AT30" i="1"/>
  <c r="AS38" i="1"/>
  <c r="AS30" i="1"/>
  <c r="AR38" i="1"/>
  <c r="AR30" i="1"/>
  <c r="AQ38" i="1"/>
  <c r="AP38" i="1"/>
  <c r="AP30" i="1"/>
  <c r="AO38" i="1"/>
  <c r="AO30" i="1"/>
  <c r="AN38" i="1"/>
  <c r="AN30" i="1"/>
  <c r="AM30" i="1"/>
  <c r="AM38" i="1"/>
  <c r="AK30" i="1"/>
  <c r="AL38" i="1"/>
  <c r="AK38" i="1"/>
  <c r="AJ38" i="1"/>
  <c r="AJ30" i="1"/>
  <c r="AI38" i="1"/>
  <c r="AI30" i="1"/>
  <c r="AG30" i="1"/>
  <c r="AG38" i="1"/>
  <c r="AF38" i="1"/>
  <c r="AF30" i="1"/>
  <c r="AE38" i="1"/>
  <c r="AE30" i="1"/>
  <c r="AD38" i="1"/>
  <c r="AD30" i="1"/>
  <c r="AC38" i="1"/>
  <c r="AC30" i="1"/>
  <c r="AB38" i="1"/>
  <c r="AB30" i="1"/>
  <c r="AA30" i="1"/>
  <c r="AA38" i="1"/>
  <c r="Z30" i="1"/>
  <c r="Z38" i="1"/>
  <c r="Y30" i="1"/>
  <c r="Y38" i="1"/>
  <c r="X38" i="1"/>
  <c r="X30" i="1"/>
  <c r="W38" i="1"/>
  <c r="W30" i="1"/>
  <c r="V38" i="1"/>
  <c r="V30" i="1"/>
  <c r="U38" i="1"/>
  <c r="U30" i="1"/>
  <c r="T30" i="1"/>
  <c r="T38" i="1"/>
  <c r="S38" i="1"/>
  <c r="S30" i="1"/>
  <c r="R38" i="1"/>
  <c r="R30" i="1"/>
  <c r="Q38" i="1"/>
  <c r="Q30" i="1"/>
  <c r="P38" i="1"/>
  <c r="P30" i="1"/>
  <c r="O38" i="1"/>
  <c r="O30" i="1"/>
  <c r="N38" i="1"/>
  <c r="N30" i="1"/>
  <c r="M38" i="1"/>
  <c r="M30" i="1"/>
  <c r="L38" i="1"/>
  <c r="L30" i="1"/>
  <c r="K30" i="1"/>
  <c r="K38" i="1"/>
  <c r="J30" i="1"/>
  <c r="J38" i="1"/>
  <c r="I30" i="1"/>
  <c r="I38" i="1"/>
  <c r="C11" i="2"/>
  <c r="H38" i="1"/>
  <c r="H30" i="1"/>
  <c r="G30" i="1"/>
  <c r="G38" i="1"/>
  <c r="F38" i="1"/>
  <c r="F30" i="1"/>
  <c r="E38" i="1"/>
  <c r="E30" i="1"/>
  <c r="D35" i="1"/>
  <c r="D38" i="1" s="1"/>
  <c r="D27" i="1"/>
  <c r="D30" i="1" s="1"/>
  <c r="C38" i="1"/>
  <c r="C30" i="1"/>
  <c r="BB58" i="1"/>
  <c r="BB50" i="1"/>
  <c r="BA50" i="1"/>
  <c r="BA58" i="1"/>
  <c r="AZ58" i="1"/>
  <c r="AZ50" i="1"/>
  <c r="AY58" i="1"/>
  <c r="AY50" i="1"/>
  <c r="AX58" i="1"/>
  <c r="AX50" i="1"/>
  <c r="AW50" i="1"/>
  <c r="AW58" i="1"/>
  <c r="AV50" i="1"/>
  <c r="AV58" i="1"/>
  <c r="AU58" i="1"/>
  <c r="AU50" i="1"/>
  <c r="AT58" i="1"/>
  <c r="AT50" i="1"/>
  <c r="AS58" i="1"/>
  <c r="AS50" i="1"/>
  <c r="AR50" i="1"/>
  <c r="AR58" i="1"/>
  <c r="AQ58" i="1"/>
  <c r="AQ50" i="1"/>
  <c r="AP50" i="1"/>
  <c r="AP58" i="1"/>
  <c r="AO50" i="1"/>
  <c r="AO58" i="1"/>
  <c r="AN58" i="1"/>
  <c r="AN50" i="1"/>
  <c r="AM50" i="1"/>
  <c r="AM58" i="1"/>
  <c r="AL50" i="1"/>
  <c r="AL58" i="1"/>
  <c r="AK50" i="1"/>
  <c r="AK58" i="1"/>
  <c r="AJ58" i="1"/>
  <c r="AJ50" i="1"/>
  <c r="AI58" i="1"/>
  <c r="AI50" i="1"/>
  <c r="AH58" i="1"/>
  <c r="AH50" i="1"/>
  <c r="AG58" i="1"/>
  <c r="AG50" i="1"/>
  <c r="AF58" i="1"/>
  <c r="AF50" i="1"/>
  <c r="AD58" i="1"/>
  <c r="AD50" i="1"/>
  <c r="AC58" i="1"/>
  <c r="AC50" i="1"/>
  <c r="AB58" i="1"/>
  <c r="AB50" i="1"/>
  <c r="AA58" i="1"/>
  <c r="AA50" i="1"/>
  <c r="Z58" i="1"/>
  <c r="Z50" i="1"/>
  <c r="Y58" i="1"/>
  <c r="Y50" i="1"/>
  <c r="X58" i="1"/>
  <c r="X50" i="1"/>
  <c r="W58" i="1"/>
  <c r="W50" i="1"/>
  <c r="V58" i="1"/>
  <c r="S58" i="1"/>
  <c r="V50" i="1"/>
  <c r="S50" i="1"/>
  <c r="R58" i="1"/>
  <c r="R50" i="1"/>
  <c r="Q58" i="1"/>
  <c r="P58" i="1"/>
  <c r="Q50" i="1"/>
  <c r="P50" i="1"/>
  <c r="N58" i="1"/>
  <c r="O50" i="1"/>
  <c r="N50" i="1"/>
  <c r="M58" i="1"/>
  <c r="M50" i="1"/>
  <c r="L58" i="1"/>
  <c r="L50" i="1"/>
  <c r="K58" i="1"/>
  <c r="K50" i="1"/>
  <c r="J58" i="1"/>
  <c r="J50" i="1"/>
  <c r="I58" i="1"/>
  <c r="I50" i="1"/>
  <c r="H58" i="1"/>
  <c r="H50" i="1"/>
  <c r="G58" i="1"/>
  <c r="G50" i="1"/>
  <c r="F58" i="1"/>
  <c r="F50" i="1"/>
  <c r="E58" i="1"/>
  <c r="E50" i="1"/>
  <c r="D58" i="1"/>
  <c r="D50" i="1"/>
  <c r="C58" i="1"/>
  <c r="C50" i="1"/>
  <c r="C70" i="1"/>
  <c r="BA78" i="1"/>
  <c r="AZ78" i="1"/>
  <c r="BA70" i="1"/>
  <c r="AZ70" i="1"/>
  <c r="AY78" i="1"/>
  <c r="AY70" i="1"/>
  <c r="AX78" i="1"/>
  <c r="AX70" i="1"/>
  <c r="AW78" i="1"/>
  <c r="AW70" i="1"/>
  <c r="AV78" i="1"/>
  <c r="AV70" i="1"/>
  <c r="AU78" i="1"/>
  <c r="AU70" i="1"/>
  <c r="AT78" i="1"/>
  <c r="AT70" i="1"/>
  <c r="AS78" i="1"/>
  <c r="AS70" i="1"/>
  <c r="AR78" i="1"/>
  <c r="AR70" i="1"/>
  <c r="AQ78" i="1"/>
  <c r="AQ70" i="1"/>
  <c r="AP78" i="1"/>
  <c r="AP70" i="1"/>
  <c r="AO78" i="1"/>
  <c r="AO70" i="1"/>
  <c r="AN78" i="1"/>
  <c r="AN70" i="1"/>
  <c r="AM78" i="1"/>
  <c r="AM70" i="1"/>
  <c r="AL78" i="1"/>
  <c r="AL70" i="1"/>
  <c r="AK78" i="1"/>
  <c r="AK70" i="1"/>
  <c r="AJ78" i="1"/>
  <c r="AJ70" i="1"/>
  <c r="AI78" i="1"/>
  <c r="AI70" i="1"/>
  <c r="AH78" i="1"/>
  <c r="AH70" i="1"/>
  <c r="AG78" i="1"/>
  <c r="AG70" i="1"/>
  <c r="AF78" i="1"/>
  <c r="AF70" i="1"/>
  <c r="AE78" i="1"/>
  <c r="AE70" i="1"/>
  <c r="AD78" i="1"/>
  <c r="AD70" i="1"/>
  <c r="AC78" i="1"/>
  <c r="AC70" i="1"/>
  <c r="AB78" i="1"/>
  <c r="AA70" i="1"/>
  <c r="AA78" i="1"/>
  <c r="Z78" i="1"/>
  <c r="Z70" i="1"/>
  <c r="Y78" i="1"/>
  <c r="Y70" i="1"/>
  <c r="X78" i="1"/>
  <c r="X70" i="1"/>
  <c r="W78" i="1"/>
  <c r="W70" i="1"/>
  <c r="V78" i="1"/>
  <c r="V70" i="1"/>
  <c r="U78" i="1"/>
  <c r="U70" i="1"/>
  <c r="T78" i="1"/>
  <c r="T70" i="1"/>
  <c r="S78" i="1"/>
  <c r="S70" i="1"/>
  <c r="R78" i="1"/>
  <c r="R70" i="1"/>
  <c r="Q78" i="1"/>
  <c r="Q70" i="1"/>
  <c r="P78" i="1"/>
  <c r="O78" i="1"/>
  <c r="P70" i="1"/>
  <c r="O70" i="1"/>
  <c r="N78" i="1"/>
  <c r="N70" i="1"/>
  <c r="M78" i="1"/>
  <c r="M70" i="1"/>
  <c r="L78" i="1"/>
  <c r="L70" i="1"/>
  <c r="K78" i="1"/>
  <c r="K70" i="1"/>
  <c r="J78" i="1"/>
  <c r="J70" i="1"/>
  <c r="I78" i="1"/>
  <c r="I70" i="1"/>
  <c r="H78" i="1"/>
  <c r="H70" i="1"/>
  <c r="G78" i="1"/>
  <c r="G70" i="1"/>
  <c r="F78" i="1"/>
  <c r="F70" i="1"/>
  <c r="E78" i="1"/>
  <c r="E70" i="1"/>
  <c r="D78" i="1"/>
  <c r="D70" i="1"/>
  <c r="C78" i="1"/>
  <c r="G90" i="1"/>
  <c r="H90" i="1"/>
  <c r="BC80" i="1"/>
  <c r="BB98" i="1"/>
  <c r="BC72" i="1"/>
  <c r="BB90" i="1"/>
  <c r="D120" i="1"/>
  <c r="E120" i="1" s="1"/>
  <c r="BA90" i="1"/>
  <c r="BA98" i="1"/>
  <c r="AZ98" i="1"/>
  <c r="AZ90" i="1"/>
  <c r="AY98" i="1"/>
  <c r="AY90" i="1"/>
  <c r="AX98" i="1"/>
  <c r="AX90" i="1"/>
  <c r="AW98" i="1"/>
  <c r="AW90" i="1"/>
  <c r="AV98" i="1"/>
  <c r="AV90" i="1"/>
  <c r="AU98" i="1"/>
  <c r="AU90" i="1"/>
  <c r="AT98" i="1"/>
  <c r="AT90" i="1"/>
  <c r="AS98" i="1"/>
  <c r="AS90" i="1"/>
  <c r="AR98" i="1"/>
  <c r="AR90" i="1"/>
  <c r="AQ98" i="1"/>
  <c r="AQ90" i="1"/>
  <c r="AP98" i="1"/>
  <c r="AP90" i="1"/>
  <c r="AO98" i="1"/>
  <c r="AO90" i="1"/>
  <c r="AN98" i="1"/>
  <c r="AN90" i="1"/>
  <c r="V90" i="1"/>
  <c r="AM98" i="1"/>
  <c r="AM90" i="1"/>
  <c r="AL98" i="1"/>
  <c r="AL90" i="1"/>
  <c r="AK98" i="1"/>
  <c r="AK90" i="1"/>
  <c r="AJ98" i="1"/>
  <c r="AJ90" i="1"/>
  <c r="AI98" i="1"/>
  <c r="AI90" i="1"/>
  <c r="AH98" i="1"/>
  <c r="AH90" i="1"/>
  <c r="AG98" i="1"/>
  <c r="AG90" i="1"/>
  <c r="AF98" i="1"/>
  <c r="AF90" i="1"/>
  <c r="AE98" i="1"/>
  <c r="AE90" i="1"/>
  <c r="AD98" i="1" l="1"/>
  <c r="AD90" i="1"/>
  <c r="AC98" i="1"/>
  <c r="AC90" i="1"/>
  <c r="AB98" i="1"/>
  <c r="AB90" i="1"/>
  <c r="AA98" i="1"/>
  <c r="AA90" i="1"/>
  <c r="Z98" i="1"/>
  <c r="Z90" i="1"/>
  <c r="Y98" i="1"/>
  <c r="Y90" i="1"/>
  <c r="X98" i="1"/>
  <c r="X90" i="1"/>
  <c r="V98" i="1"/>
  <c r="U98" i="1"/>
  <c r="U90" i="1"/>
  <c r="T98" i="1"/>
  <c r="T90" i="1"/>
  <c r="S98" i="1"/>
  <c r="S90" i="1"/>
  <c r="R98" i="1"/>
  <c r="R90" i="1"/>
  <c r="Q98" i="1"/>
  <c r="Q90" i="1"/>
  <c r="P98" i="1"/>
  <c r="P90" i="1"/>
  <c r="O98" i="1"/>
  <c r="O90" i="1"/>
  <c r="N98" i="1"/>
  <c r="N90" i="1"/>
  <c r="M98" i="1"/>
  <c r="M90" i="1"/>
  <c r="L98" i="1"/>
  <c r="L90" i="1"/>
  <c r="K98" i="1"/>
  <c r="K90" i="1"/>
  <c r="J98" i="1"/>
  <c r="J90" i="1"/>
  <c r="I98" i="1"/>
  <c r="I90" i="1"/>
  <c r="H98" i="1"/>
  <c r="G98" i="1"/>
  <c r="F98" i="1"/>
  <c r="F90" i="1"/>
  <c r="E98" i="1"/>
  <c r="E90" i="1"/>
  <c r="D98" i="1"/>
  <c r="D90" i="1"/>
  <c r="F109" i="1"/>
  <c r="BB117" i="1"/>
  <c r="BA117" i="1"/>
  <c r="BB109" i="1"/>
  <c r="BA109" i="1"/>
  <c r="AZ117" i="1"/>
  <c r="AZ109" i="1"/>
  <c r="AY117" i="1"/>
  <c r="AY109" i="1"/>
  <c r="AX117" i="1"/>
  <c r="AX109" i="1"/>
  <c r="AW117" i="1"/>
  <c r="AW109" i="1"/>
  <c r="AV117" i="1"/>
  <c r="AV109" i="1"/>
  <c r="AU117" i="1"/>
  <c r="AU109" i="1"/>
  <c r="AT114" i="1"/>
  <c r="AT117" i="1" s="1"/>
  <c r="AT106" i="1"/>
  <c r="AT109" i="1" s="1"/>
  <c r="AS106" i="1"/>
  <c r="AS109" i="1" s="1"/>
  <c r="AR117" i="1"/>
  <c r="AS114" i="1"/>
  <c r="AS117" i="1" s="1"/>
  <c r="AR109" i="1"/>
  <c r="AP117" i="1"/>
  <c r="AP109" i="1"/>
  <c r="AQ114" i="1"/>
  <c r="AQ117" i="1" s="1"/>
  <c r="AQ106" i="1"/>
  <c r="AQ109" i="1" s="1"/>
  <c r="AO117" i="1"/>
  <c r="AO109" i="1"/>
  <c r="AN117" i="1"/>
  <c r="AN109" i="1"/>
  <c r="AL117" i="1"/>
  <c r="AM114" i="1"/>
  <c r="AM117" i="1" s="1"/>
  <c r="AL109" i="1"/>
  <c r="AM106" i="1"/>
  <c r="AM109" i="1" s="1"/>
  <c r="AK114" i="1"/>
  <c r="AK117" i="1" s="1"/>
  <c r="AK106" i="1"/>
  <c r="AK109" i="1" s="1"/>
  <c r="AJ114" i="1"/>
  <c r="AJ117" i="1" s="1"/>
  <c r="AJ106" i="1"/>
  <c r="AJ109" i="1" s="1"/>
  <c r="AI114" i="1"/>
  <c r="AI117" i="1" s="1"/>
  <c r="AI106" i="1"/>
  <c r="AI109" i="1" s="1"/>
  <c r="AG117" i="1"/>
  <c r="AH114" i="1"/>
  <c r="AH117" i="1" s="1"/>
  <c r="AG109" i="1"/>
  <c r="AH106" i="1"/>
  <c r="AH109" i="1" s="1"/>
  <c r="AF117" i="1"/>
  <c r="AF109" i="1"/>
  <c r="AE114" i="1"/>
  <c r="AE117" i="1" s="1"/>
  <c r="AE106" i="1"/>
  <c r="AE109" i="1" s="1"/>
  <c r="AD114" i="1"/>
  <c r="AD117" i="1" s="1"/>
  <c r="AD106" i="1"/>
  <c r="AD109" i="1" s="1"/>
  <c r="AC114" i="1"/>
  <c r="AC117" i="1" s="1"/>
  <c r="AC106" i="1"/>
  <c r="AC109" i="1" s="1"/>
  <c r="AB114" i="1"/>
  <c r="AB117" i="1" s="1"/>
  <c r="AB106" i="1"/>
  <c r="AB109" i="1" s="1"/>
  <c r="AA114" i="1"/>
  <c r="AA117" i="1" s="1"/>
  <c r="AA106" i="1"/>
  <c r="AA109" i="1" s="1"/>
  <c r="Z114" i="1"/>
  <c r="Z117" i="1" s="1"/>
  <c r="Z106" i="1"/>
  <c r="Z109" i="1" s="1"/>
  <c r="Y114" i="1"/>
  <c r="Y117" i="1" s="1"/>
  <c r="Y106" i="1"/>
  <c r="Y109" i="1" s="1"/>
  <c r="W117" i="1"/>
  <c r="X114" i="1"/>
  <c r="X117" i="1" s="1"/>
  <c r="W109" i="1"/>
  <c r="X106" i="1"/>
  <c r="X109" i="1" s="1"/>
  <c r="V117" i="1"/>
  <c r="V109" i="1"/>
  <c r="U114" i="1"/>
  <c r="U117" i="1" s="1"/>
  <c r="U106" i="1"/>
  <c r="U109" i="1" s="1"/>
  <c r="T114" i="1"/>
  <c r="T117" i="1" s="1"/>
  <c r="T106" i="1"/>
  <c r="T109" i="1" s="1"/>
  <c r="S114" i="1"/>
  <c r="S117" i="1" s="1"/>
  <c r="S106" i="1"/>
  <c r="S109" i="1" s="1"/>
  <c r="R114" i="1"/>
  <c r="R117" i="1" s="1"/>
  <c r="R106" i="1"/>
  <c r="R109" i="1" s="1"/>
  <c r="Q114" i="1"/>
  <c r="Q117" i="1" s="1"/>
  <c r="Q106" i="1"/>
  <c r="Q109" i="1" s="1"/>
  <c r="P114" i="1"/>
  <c r="P117" i="1" s="1"/>
  <c r="P106" i="1"/>
  <c r="P109" i="1" s="1"/>
  <c r="O114" i="1"/>
  <c r="O117" i="1" s="1"/>
  <c r="O106" i="1"/>
  <c r="O109" i="1" s="1"/>
  <c r="N114" i="1"/>
  <c r="N117" i="1" s="1"/>
  <c r="N106" i="1"/>
  <c r="N109" i="1" s="1"/>
  <c r="M114" i="1"/>
  <c r="M117" i="1" s="1"/>
  <c r="M106" i="1"/>
  <c r="M109" i="1" s="1"/>
  <c r="L114" i="1"/>
  <c r="L117" i="1" s="1"/>
  <c r="L106" i="1"/>
  <c r="L109" i="1" s="1"/>
  <c r="K114" i="1"/>
  <c r="K117" i="1" s="1"/>
  <c r="K106" i="1"/>
  <c r="K109" i="1" s="1"/>
  <c r="J114" i="1"/>
  <c r="J117" i="1" s="1"/>
  <c r="J106" i="1"/>
  <c r="J109" i="1" s="1"/>
  <c r="I114" i="1"/>
  <c r="I117" i="1" s="1"/>
  <c r="I106" i="1"/>
  <c r="I109" i="1" s="1"/>
  <c r="H114" i="1"/>
  <c r="H117" i="1" s="1"/>
  <c r="H106" i="1"/>
  <c r="H109" i="1" s="1"/>
  <c r="F117" i="1"/>
  <c r="G114" i="1"/>
  <c r="G117" i="1" s="1"/>
  <c r="G106" i="1"/>
  <c r="G109" i="1" s="1"/>
  <c r="E114" i="1"/>
  <c r="E117" i="1" s="1"/>
  <c r="E106" i="1"/>
  <c r="E109" i="1" s="1"/>
  <c r="D114" i="1"/>
  <c r="D117" i="1" s="1"/>
  <c r="D106" i="1"/>
  <c r="D109" i="1" s="1"/>
  <c r="C114" i="1" l="1"/>
  <c r="C117" i="1" s="1"/>
  <c r="BB136" i="1"/>
  <c r="C106" i="1"/>
  <c r="C109" i="1" s="1"/>
  <c r="BA136" i="1" l="1"/>
  <c r="BB128" i="1"/>
  <c r="BA128" i="1"/>
  <c r="AZ136" i="1" l="1"/>
  <c r="AZ128" i="1"/>
  <c r="AY136" i="1" l="1"/>
  <c r="AY128" i="1"/>
  <c r="AX136" i="1" l="1"/>
  <c r="AX128" i="1"/>
  <c r="AW136" i="1" l="1"/>
  <c r="AW128" i="1"/>
  <c r="AV136" i="1" l="1"/>
  <c r="AV128" i="1"/>
  <c r="AU136" i="1" l="1"/>
  <c r="AU128" i="1"/>
  <c r="BB156" i="1" l="1"/>
  <c r="BA156" i="1"/>
  <c r="AZ156" i="1"/>
  <c r="AY156" i="1"/>
  <c r="AX156" i="1"/>
  <c r="AW156" i="1"/>
  <c r="AV156" i="1"/>
  <c r="AU156" i="1"/>
  <c r="AT156" i="1"/>
  <c r="BB148" i="1"/>
  <c r="BA148" i="1"/>
  <c r="AZ148" i="1"/>
  <c r="AY148" i="1"/>
  <c r="AX148" i="1"/>
  <c r="AW148" i="1"/>
  <c r="AV148" i="1"/>
  <c r="AT148" i="1"/>
  <c r="AU148" i="1"/>
  <c r="AT136" i="1"/>
  <c r="AT128" i="1"/>
  <c r="AS156" i="1" l="1"/>
  <c r="AS148" i="1"/>
  <c r="AS136" i="1"/>
  <c r="AS128" i="1"/>
  <c r="AR136" i="1" l="1"/>
  <c r="AQ128" i="1"/>
  <c r="AR128" i="1"/>
  <c r="AQ136" i="1" l="1"/>
  <c r="AP136" i="1" l="1"/>
  <c r="AP128" i="1"/>
  <c r="AO136" i="1" l="1"/>
  <c r="AO128" i="1"/>
  <c r="AN136" i="1" l="1"/>
  <c r="AN128" i="1"/>
  <c r="AN156" i="1" l="1"/>
  <c r="AN148" i="1"/>
  <c r="AR156" i="1"/>
  <c r="AR148" i="1"/>
  <c r="AQ156" i="1"/>
  <c r="AQ148" i="1"/>
  <c r="AP156" i="1"/>
  <c r="AP148" i="1"/>
  <c r="AO156" i="1"/>
  <c r="AO148" i="1"/>
  <c r="AD156" i="1" l="1"/>
  <c r="AD125" i="1" l="1"/>
  <c r="AD128" i="1" s="1"/>
  <c r="AE125" i="1"/>
  <c r="AE128" i="1" s="1"/>
  <c r="AF125" i="1"/>
  <c r="AF128" i="1" s="1"/>
  <c r="AG125" i="1"/>
  <c r="AG128" i="1" s="1"/>
  <c r="AH125" i="1"/>
  <c r="AH128" i="1" s="1"/>
  <c r="AI125" i="1"/>
  <c r="AI128" i="1" s="1"/>
  <c r="AJ125" i="1"/>
  <c r="AJ128" i="1" s="1"/>
  <c r="AK125" i="1"/>
  <c r="AK128" i="1" s="1"/>
  <c r="AL125" i="1"/>
  <c r="AL128" i="1" s="1"/>
  <c r="AM125" i="1"/>
  <c r="AM128" i="1" s="1"/>
  <c r="AD133" i="1"/>
  <c r="AD136" i="1" s="1"/>
  <c r="AE133" i="1"/>
  <c r="AE136" i="1" s="1"/>
  <c r="AF133" i="1"/>
  <c r="AF136" i="1" s="1"/>
  <c r="AG133" i="1"/>
  <c r="AG136" i="1" s="1"/>
  <c r="AH133" i="1"/>
  <c r="AH136" i="1" s="1"/>
  <c r="AI133" i="1"/>
  <c r="AI136" i="1" s="1"/>
  <c r="AJ133" i="1"/>
  <c r="AJ136" i="1" s="1"/>
  <c r="AK133" i="1"/>
  <c r="AK136" i="1" s="1"/>
  <c r="AL133" i="1"/>
  <c r="AL136" i="1" s="1"/>
  <c r="AM133" i="1"/>
  <c r="AM136" i="1" s="1"/>
  <c r="AD145" i="1"/>
  <c r="AD148" i="1" s="1"/>
  <c r="AE145" i="1"/>
  <c r="AE148" i="1" s="1"/>
  <c r="AF145" i="1"/>
  <c r="AF148" i="1" s="1"/>
  <c r="AG145" i="1"/>
  <c r="AG148" i="1" s="1"/>
  <c r="AH145" i="1"/>
  <c r="AH148" i="1" s="1"/>
  <c r="AI145" i="1"/>
  <c r="AI148" i="1" s="1"/>
  <c r="AJ145" i="1"/>
  <c r="AJ148" i="1" s="1"/>
  <c r="AK145" i="1"/>
  <c r="AK148" i="1" s="1"/>
  <c r="AL145" i="1"/>
  <c r="AL148" i="1" s="1"/>
  <c r="AM145" i="1"/>
  <c r="AM148" i="1" s="1"/>
  <c r="AE153" i="1"/>
  <c r="AE156" i="1" s="1"/>
  <c r="AF153" i="1"/>
  <c r="AF156" i="1" s="1"/>
  <c r="AG153" i="1"/>
  <c r="AG156" i="1" s="1"/>
  <c r="AH153" i="1"/>
  <c r="AH156" i="1" s="1"/>
  <c r="AI153" i="1"/>
  <c r="AI156" i="1" s="1"/>
  <c r="AJ153" i="1"/>
  <c r="AJ156" i="1" s="1"/>
  <c r="AK153" i="1"/>
  <c r="AK156" i="1" s="1"/>
  <c r="AL153" i="1"/>
  <c r="AL156" i="1" s="1"/>
  <c r="AM153" i="1"/>
  <c r="AM156" i="1" s="1"/>
  <c r="D145" i="1"/>
  <c r="D148" i="1" s="1"/>
  <c r="E145" i="1"/>
  <c r="E148" i="1" s="1"/>
  <c r="F145" i="1"/>
  <c r="F148" i="1" s="1"/>
  <c r="G145" i="1"/>
  <c r="G148" i="1" s="1"/>
  <c r="H145" i="1"/>
  <c r="H148" i="1" s="1"/>
  <c r="I145" i="1"/>
  <c r="I148" i="1" s="1"/>
  <c r="J145" i="1"/>
  <c r="J148" i="1" s="1"/>
  <c r="K145" i="1"/>
  <c r="K148" i="1" s="1"/>
  <c r="L145" i="1"/>
  <c r="L148" i="1" s="1"/>
  <c r="M145" i="1"/>
  <c r="M148" i="1" s="1"/>
  <c r="N145" i="1"/>
  <c r="N148" i="1" s="1"/>
  <c r="O145" i="1"/>
  <c r="O148" i="1" s="1"/>
  <c r="P145" i="1"/>
  <c r="P148" i="1" s="1"/>
  <c r="Q145" i="1"/>
  <c r="Q148" i="1" s="1"/>
  <c r="R145" i="1"/>
  <c r="R148" i="1" s="1"/>
  <c r="S145" i="1"/>
  <c r="S148" i="1" s="1"/>
  <c r="T145" i="1"/>
  <c r="T148" i="1" s="1"/>
  <c r="U145" i="1"/>
  <c r="U148" i="1" s="1"/>
  <c r="V145" i="1"/>
  <c r="V148" i="1" s="1"/>
  <c r="W145" i="1"/>
  <c r="W148" i="1" s="1"/>
  <c r="X145" i="1"/>
  <c r="X148" i="1" s="1"/>
  <c r="Y145" i="1"/>
  <c r="Y148" i="1" s="1"/>
  <c r="Z145" i="1"/>
  <c r="Z148" i="1" s="1"/>
  <c r="AA145" i="1"/>
  <c r="AA148" i="1" s="1"/>
  <c r="AB145" i="1"/>
  <c r="AB148" i="1" s="1"/>
  <c r="AC145" i="1"/>
  <c r="AC148" i="1" s="1"/>
  <c r="D153" i="1"/>
  <c r="D156" i="1" s="1"/>
  <c r="E153" i="1"/>
  <c r="E156" i="1" s="1"/>
  <c r="F153" i="1"/>
  <c r="F156" i="1" s="1"/>
  <c r="G153" i="1"/>
  <c r="G156" i="1" s="1"/>
  <c r="H153" i="1"/>
  <c r="H156" i="1" s="1"/>
  <c r="I153" i="1"/>
  <c r="I156" i="1" s="1"/>
  <c r="J153" i="1"/>
  <c r="J156" i="1" s="1"/>
  <c r="K153" i="1"/>
  <c r="K156" i="1" s="1"/>
  <c r="L153" i="1"/>
  <c r="L156" i="1" s="1"/>
  <c r="M153" i="1"/>
  <c r="M156" i="1" s="1"/>
  <c r="N153" i="1"/>
  <c r="N156" i="1" s="1"/>
  <c r="O153" i="1"/>
  <c r="O156" i="1" s="1"/>
  <c r="P153" i="1"/>
  <c r="P156" i="1" s="1"/>
  <c r="Q153" i="1"/>
  <c r="Q156" i="1" s="1"/>
  <c r="R153" i="1"/>
  <c r="R156" i="1" s="1"/>
  <c r="S153" i="1"/>
  <c r="S156" i="1" s="1"/>
  <c r="T153" i="1"/>
  <c r="T156" i="1" s="1"/>
  <c r="U153" i="1"/>
  <c r="U156" i="1" s="1"/>
  <c r="V153" i="1"/>
  <c r="V156" i="1" s="1"/>
  <c r="W153" i="1"/>
  <c r="W156" i="1" s="1"/>
  <c r="X153" i="1"/>
  <c r="X156" i="1" s="1"/>
  <c r="Y153" i="1"/>
  <c r="Y156" i="1" s="1"/>
  <c r="Z153" i="1"/>
  <c r="Z156" i="1" s="1"/>
  <c r="AA153" i="1"/>
  <c r="AA156" i="1" s="1"/>
  <c r="AB153" i="1"/>
  <c r="AB156" i="1" s="1"/>
  <c r="AC153" i="1"/>
  <c r="AC156" i="1" s="1"/>
  <c r="C153" i="1"/>
  <c r="C156" i="1" s="1"/>
  <c r="C145" i="1"/>
  <c r="C148" i="1" s="1"/>
  <c r="D133" i="1"/>
  <c r="D136" i="1" s="1"/>
  <c r="E133" i="1"/>
  <c r="E136" i="1" s="1"/>
  <c r="F133" i="1"/>
  <c r="F136" i="1" s="1"/>
  <c r="G133" i="1"/>
  <c r="G136" i="1" s="1"/>
  <c r="H133" i="1"/>
  <c r="H136" i="1" s="1"/>
  <c r="I133" i="1"/>
  <c r="I136" i="1" s="1"/>
  <c r="J133" i="1"/>
  <c r="J136" i="1" s="1"/>
  <c r="K133" i="1"/>
  <c r="K136" i="1" s="1"/>
  <c r="L133" i="1"/>
  <c r="L136" i="1" s="1"/>
  <c r="M133" i="1"/>
  <c r="M136" i="1" s="1"/>
  <c r="N133" i="1"/>
  <c r="N136" i="1" s="1"/>
  <c r="O133" i="1"/>
  <c r="O136" i="1" s="1"/>
  <c r="P133" i="1"/>
  <c r="P136" i="1" s="1"/>
  <c r="Q133" i="1"/>
  <c r="Q136" i="1" s="1"/>
  <c r="R133" i="1"/>
  <c r="R136" i="1" s="1"/>
  <c r="S133" i="1"/>
  <c r="S136" i="1" s="1"/>
  <c r="T133" i="1"/>
  <c r="T136" i="1" s="1"/>
  <c r="U133" i="1"/>
  <c r="U136" i="1" s="1"/>
  <c r="V133" i="1"/>
  <c r="V136" i="1" s="1"/>
  <c r="W133" i="1"/>
  <c r="W136" i="1" s="1"/>
  <c r="X133" i="1"/>
  <c r="X136" i="1" s="1"/>
  <c r="Y133" i="1"/>
  <c r="Y136" i="1" s="1"/>
  <c r="Z133" i="1"/>
  <c r="Z136" i="1" s="1"/>
  <c r="AA133" i="1"/>
  <c r="AA136" i="1" s="1"/>
  <c r="AB133" i="1"/>
  <c r="AB136" i="1" s="1"/>
  <c r="AC133" i="1"/>
  <c r="AC136" i="1" s="1"/>
  <c r="C133" i="1"/>
  <c r="C136" i="1" s="1"/>
  <c r="D125" i="1"/>
  <c r="D128" i="1" s="1"/>
  <c r="E125" i="1"/>
  <c r="E128" i="1" s="1"/>
  <c r="F125" i="1"/>
  <c r="F128" i="1" s="1"/>
  <c r="G125" i="1"/>
  <c r="G128" i="1" s="1"/>
  <c r="H125" i="1"/>
  <c r="H128" i="1" s="1"/>
  <c r="I125" i="1"/>
  <c r="I128" i="1" s="1"/>
  <c r="J125" i="1"/>
  <c r="J128" i="1" s="1"/>
  <c r="K125" i="1"/>
  <c r="K128" i="1" s="1"/>
  <c r="L125" i="1"/>
  <c r="L128" i="1" s="1"/>
  <c r="M125" i="1"/>
  <c r="M128" i="1" s="1"/>
  <c r="N125" i="1"/>
  <c r="N128" i="1" s="1"/>
  <c r="O125" i="1"/>
  <c r="O128" i="1" s="1"/>
  <c r="P125" i="1"/>
  <c r="P128" i="1" s="1"/>
  <c r="Q125" i="1"/>
  <c r="Q128" i="1" s="1"/>
  <c r="R125" i="1"/>
  <c r="R128" i="1" s="1"/>
  <c r="S125" i="1"/>
  <c r="S128" i="1" s="1"/>
  <c r="T125" i="1"/>
  <c r="T128" i="1" s="1"/>
  <c r="U125" i="1"/>
  <c r="U128" i="1" s="1"/>
  <c r="V125" i="1"/>
  <c r="V128" i="1" s="1"/>
  <c r="W125" i="1"/>
  <c r="W128" i="1" s="1"/>
  <c r="X125" i="1"/>
  <c r="X128" i="1" s="1"/>
  <c r="Y125" i="1"/>
  <c r="Y128" i="1" s="1"/>
  <c r="Z125" i="1"/>
  <c r="Z128" i="1" s="1"/>
  <c r="AA125" i="1"/>
  <c r="AA128" i="1" s="1"/>
  <c r="AB125" i="1"/>
  <c r="AB128" i="1" s="1"/>
  <c r="AC125" i="1"/>
  <c r="AC128" i="1" s="1"/>
  <c r="C125" i="1"/>
  <c r="C128" i="1" s="1"/>
  <c r="D140" i="1"/>
  <c r="E140" i="1" s="1"/>
  <c r="F140" i="1" s="1"/>
  <c r="G140" i="1" s="1"/>
  <c r="H140" i="1" s="1"/>
  <c r="I140" i="1" s="1"/>
  <c r="J140" i="1" s="1"/>
  <c r="K140" i="1" s="1"/>
  <c r="L140" i="1" s="1"/>
  <c r="M140" i="1" s="1"/>
  <c r="N140" i="1" s="1"/>
  <c r="O140" i="1" s="1"/>
  <c r="P140" i="1" s="1"/>
  <c r="Q140" i="1" s="1"/>
  <c r="R140" i="1" s="1"/>
  <c r="S140" i="1" s="1"/>
  <c r="T140" i="1" s="1"/>
  <c r="U140" i="1" s="1"/>
  <c r="V140" i="1" s="1"/>
  <c r="W140" i="1" s="1"/>
  <c r="X140" i="1" s="1"/>
  <c r="Y140" i="1" s="1"/>
  <c r="Z140" i="1" s="1"/>
  <c r="AA140" i="1" s="1"/>
  <c r="AB140" i="1" s="1"/>
  <c r="AC140" i="1" s="1"/>
  <c r="AD140" i="1" s="1"/>
  <c r="AE140" i="1" s="1"/>
  <c r="AF140" i="1" s="1"/>
  <c r="AG140" i="1" s="1"/>
  <c r="AH140" i="1" s="1"/>
  <c r="AI140" i="1" s="1"/>
  <c r="AJ140" i="1" s="1"/>
  <c r="AK140" i="1" s="1"/>
  <c r="AL140" i="1" s="1"/>
  <c r="AM140" i="1" s="1"/>
  <c r="F120" i="1"/>
  <c r="G120" i="1" s="1"/>
  <c r="H120" i="1" s="1"/>
  <c r="I120" i="1" s="1"/>
  <c r="J120" i="1" s="1"/>
  <c r="K120" i="1" s="1"/>
  <c r="L120" i="1" s="1"/>
  <c r="M120" i="1" s="1"/>
  <c r="N120" i="1" s="1"/>
  <c r="O120" i="1" l="1"/>
  <c r="P120" i="1" s="1"/>
  <c r="Q120" i="1" s="1"/>
  <c r="R120" i="1" s="1"/>
  <c r="S120" i="1" s="1"/>
  <c r="T120" i="1" s="1"/>
  <c r="U120" i="1" s="1"/>
  <c r="V120" i="1" s="1"/>
  <c r="W120" i="1" s="1"/>
  <c r="X120" i="1" s="1"/>
  <c r="Y120" i="1" s="1"/>
  <c r="Z120" i="1" s="1"/>
  <c r="AA120" i="1" s="1"/>
  <c r="AB120" i="1" s="1"/>
  <c r="AC120" i="1" s="1"/>
  <c r="AD120" i="1" s="1"/>
  <c r="AE120" i="1" s="1"/>
  <c r="AF120" i="1" s="1"/>
  <c r="AG120" i="1" s="1"/>
  <c r="AH120" i="1" s="1"/>
  <c r="AI120" i="1" s="1"/>
  <c r="AJ120" i="1" s="1"/>
  <c r="AK120" i="1" s="1"/>
  <c r="AL120" i="1" s="1"/>
  <c r="AM120" i="1" s="1"/>
</calcChain>
</file>

<file path=xl/sharedStrings.xml><?xml version="1.0" encoding="utf-8"?>
<sst xmlns="http://schemas.openxmlformats.org/spreadsheetml/2006/main" count="95" uniqueCount="12">
  <si>
    <t>Crane</t>
  </si>
  <si>
    <t>Bucket</t>
  </si>
  <si>
    <t>Crews</t>
  </si>
  <si>
    <t>On Board</t>
  </si>
  <si>
    <t>To Be Sched.</t>
  </si>
  <si>
    <t>Total</t>
  </si>
  <si>
    <t>CRANE</t>
  </si>
  <si>
    <t>BUCKET</t>
  </si>
  <si>
    <t>Week</t>
  </si>
  <si>
    <t>N/A</t>
  </si>
  <si>
    <t xml:space="preserve"> </t>
  </si>
  <si>
    <t>To Be Sched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</si>
</sst>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_);\(0\)"/>
    <numFmt numFmtId="166" formatCode="0.0"/>
    <numFmt numFmtId="167" formatCode="0.00_);\(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center"/>
    </xf>
    <xf numFmtId="39" fontId="0" fillId="0" borderId="0" xfId="0" applyNumberFormat="1"/>
    <xf numFmtId="37" fontId="0" fillId="0" borderId="0" xfId="0" applyNumberFormat="1"/>
    <xf numFmtId="0" fontId="1" fillId="0" borderId="0" xfId="0" applyFont="1"/>
    <xf numFmtId="0" fontId="1" fillId="0" borderId="0" xfId="0" quotePrefix="1" applyFont="1" applyAlignment="1">
      <alignment horizontal="left"/>
    </xf>
    <xf numFmtId="165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quotePrefix="1" applyFont="1" applyAlignment="1">
      <alignment horizontal="right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6" fontId="0" fillId="0" borderId="0" xfId="0" applyNumberFormat="1"/>
    <xf numFmtId="39" fontId="1" fillId="0" borderId="0" xfId="0" applyNumberFormat="1" applyFont="1"/>
    <xf numFmtId="167" fontId="0" fillId="0" borderId="0" xfId="0" applyNumberFormat="1"/>
    <xf numFmtId="0" fontId="1" fillId="0" borderId="0" xfId="0" applyFon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Iron Tree Service</a:t>
            </a:r>
          </a:p>
          <a:p>
            <a:pPr>
              <a:defRPr/>
            </a:pPr>
            <a:r>
              <a:rPr lang="en-US"/>
              <a:t>Backlog In</a:t>
            </a:r>
          </a:p>
          <a:p>
            <a:pPr>
              <a:defRPr/>
            </a:pPr>
            <a:r>
              <a:rPr lang="en-US"/>
              <a:t>Crane Crew</a:t>
            </a:r>
            <a:r>
              <a:rPr lang="en-US" baseline="0"/>
              <a:t> Weeks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852403079467608E-2"/>
          <c:y val="0.10052639518027419"/>
          <c:w val="0.9579065496740683"/>
          <c:h val="0.82721389225994679"/>
        </c:manualLayout>
      </c:layout>
      <c:lineChart>
        <c:grouping val="standard"/>
        <c:varyColors val="0"/>
        <c:ser>
          <c:idx val="8"/>
          <c:order val="0"/>
          <c:tx>
            <c:v>2026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Chart!$B$6:$B$57</c:f>
              <c:numCache>
                <c:formatCode>0.00_);\(0.00\)</c:formatCode>
                <c:ptCount val="52"/>
                <c:pt idx="0">
                  <c:v>15.2</c:v>
                </c:pt>
                <c:pt idx="1">
                  <c:v>14.2</c:v>
                </c:pt>
                <c:pt idx="2">
                  <c:v>12.2</c:v>
                </c:pt>
                <c:pt idx="3">
                  <c:v>10.199999999999999</c:v>
                </c:pt>
                <c:pt idx="4">
                  <c:v>9.1999999999999993</c:v>
                </c:pt>
                <c:pt idx="5">
                  <c:v>9</c:v>
                </c:pt>
                <c:pt idx="6">
                  <c:v>7.8</c:v>
                </c:pt>
                <c:pt idx="7">
                  <c:v>7</c:v>
                </c:pt>
                <c:pt idx="8">
                  <c:v>5.4</c:v>
                </c:pt>
                <c:pt idx="9">
                  <c:v>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5-42D6-B105-6DE2A836A5A5}"/>
            </c:ext>
          </c:extLst>
        </c:ser>
        <c:ser>
          <c:idx val="6"/>
          <c:order val="1"/>
          <c:tx>
            <c:v>2025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89E-4918-9D45-1C42792701A5}"/>
            </c:ext>
          </c:extLst>
        </c:ser>
        <c:ser>
          <c:idx val="7"/>
          <c:order val="2"/>
          <c:tx>
            <c:v>2025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Chart!$C$6:$C$57</c:f>
              <c:numCache>
                <c:formatCode>0.00_);\(0.00\)</c:formatCode>
                <c:ptCount val="52"/>
                <c:pt idx="0">
                  <c:v>16.8</c:v>
                </c:pt>
                <c:pt idx="1">
                  <c:v>16.8</c:v>
                </c:pt>
                <c:pt idx="2">
                  <c:v>17</c:v>
                </c:pt>
                <c:pt idx="3">
                  <c:v>16.600000000000001</c:v>
                </c:pt>
                <c:pt idx="4">
                  <c:v>15.4</c:v>
                </c:pt>
                <c:pt idx="5">
                  <c:v>14.8</c:v>
                </c:pt>
                <c:pt idx="6">
                  <c:v>13</c:v>
                </c:pt>
                <c:pt idx="7">
                  <c:v>12.8</c:v>
                </c:pt>
                <c:pt idx="8">
                  <c:v>11.2</c:v>
                </c:pt>
                <c:pt idx="9">
                  <c:v>10.8</c:v>
                </c:pt>
                <c:pt idx="10">
                  <c:v>9.8000000000000007</c:v>
                </c:pt>
                <c:pt idx="11">
                  <c:v>10.4</c:v>
                </c:pt>
                <c:pt idx="12">
                  <c:v>12</c:v>
                </c:pt>
                <c:pt idx="13">
                  <c:v>11.8</c:v>
                </c:pt>
                <c:pt idx="14">
                  <c:v>12</c:v>
                </c:pt>
                <c:pt idx="15">
                  <c:v>12.2</c:v>
                </c:pt>
                <c:pt idx="16">
                  <c:v>12.2</c:v>
                </c:pt>
                <c:pt idx="17">
                  <c:v>13.25</c:v>
                </c:pt>
                <c:pt idx="18">
                  <c:v>13</c:v>
                </c:pt>
                <c:pt idx="19">
                  <c:v>12.5</c:v>
                </c:pt>
                <c:pt idx="20">
                  <c:v>13.75</c:v>
                </c:pt>
                <c:pt idx="21">
                  <c:v>12.5</c:v>
                </c:pt>
                <c:pt idx="22">
                  <c:v>14.25</c:v>
                </c:pt>
                <c:pt idx="23">
                  <c:v>14.25</c:v>
                </c:pt>
                <c:pt idx="24">
                  <c:v>13.5</c:v>
                </c:pt>
                <c:pt idx="25">
                  <c:v>14</c:v>
                </c:pt>
                <c:pt idx="26">
                  <c:v>14</c:v>
                </c:pt>
                <c:pt idx="27">
                  <c:v>14.75</c:v>
                </c:pt>
                <c:pt idx="28">
                  <c:v>15.25</c:v>
                </c:pt>
                <c:pt idx="29">
                  <c:v>18.600000000000001</c:v>
                </c:pt>
                <c:pt idx="30">
                  <c:v>18.2</c:v>
                </c:pt>
                <c:pt idx="31">
                  <c:v>18.2</c:v>
                </c:pt>
                <c:pt idx="32">
                  <c:v>18.8</c:v>
                </c:pt>
                <c:pt idx="33">
                  <c:v>18.600000000000001</c:v>
                </c:pt>
                <c:pt idx="34">
                  <c:v>18.8</c:v>
                </c:pt>
                <c:pt idx="35">
                  <c:v>18.8</c:v>
                </c:pt>
                <c:pt idx="36">
                  <c:v>19.2</c:v>
                </c:pt>
                <c:pt idx="37">
                  <c:v>20.6</c:v>
                </c:pt>
                <c:pt idx="38">
                  <c:v>20.2</c:v>
                </c:pt>
                <c:pt idx="39">
                  <c:v>21.6</c:v>
                </c:pt>
                <c:pt idx="40">
                  <c:v>21.6</c:v>
                </c:pt>
                <c:pt idx="41">
                  <c:v>22.4</c:v>
                </c:pt>
                <c:pt idx="42">
                  <c:v>22.6</c:v>
                </c:pt>
                <c:pt idx="43">
                  <c:v>23.4</c:v>
                </c:pt>
                <c:pt idx="44">
                  <c:v>22.6</c:v>
                </c:pt>
                <c:pt idx="45">
                  <c:v>22.4</c:v>
                </c:pt>
                <c:pt idx="46">
                  <c:v>21.2</c:v>
                </c:pt>
                <c:pt idx="47">
                  <c:v>19.8</c:v>
                </c:pt>
                <c:pt idx="48">
                  <c:v>18.8</c:v>
                </c:pt>
                <c:pt idx="50">
                  <c:v>15.6</c:v>
                </c:pt>
                <c:pt idx="51">
                  <c:v>15.6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E-4918-9D45-1C42792701A5}"/>
            </c:ext>
          </c:extLst>
        </c:ser>
        <c:ser>
          <c:idx val="5"/>
          <c:order val="3"/>
          <c:tx>
            <c:v>2024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Chart!$D$6:$D$57</c:f>
              <c:numCache>
                <c:formatCode>0.00_);\(0.00\)</c:formatCode>
                <c:ptCount val="52"/>
                <c:pt idx="0">
                  <c:v>24.2</c:v>
                </c:pt>
                <c:pt idx="1">
                  <c:v>23</c:v>
                </c:pt>
                <c:pt idx="2">
                  <c:v>24.2</c:v>
                </c:pt>
                <c:pt idx="3">
                  <c:v>23.6</c:v>
                </c:pt>
                <c:pt idx="4">
                  <c:v>23.2</c:v>
                </c:pt>
                <c:pt idx="5">
                  <c:v>21.5</c:v>
                </c:pt>
                <c:pt idx="6">
                  <c:v>19.5</c:v>
                </c:pt>
                <c:pt idx="7">
                  <c:v>18</c:v>
                </c:pt>
                <c:pt idx="8">
                  <c:v>17.5</c:v>
                </c:pt>
                <c:pt idx="9">
                  <c:v>18.5</c:v>
                </c:pt>
                <c:pt idx="10">
                  <c:v>19</c:v>
                </c:pt>
                <c:pt idx="11">
                  <c:v>18.25</c:v>
                </c:pt>
                <c:pt idx="12">
                  <c:v>17.75</c:v>
                </c:pt>
                <c:pt idx="13">
                  <c:v>17.75</c:v>
                </c:pt>
                <c:pt idx="14">
                  <c:v>18.25</c:v>
                </c:pt>
                <c:pt idx="15">
                  <c:v>19.25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22</c:v>
                </c:pt>
                <c:pt idx="20">
                  <c:v>23.25</c:v>
                </c:pt>
                <c:pt idx="21">
                  <c:v>25</c:v>
                </c:pt>
                <c:pt idx="22">
                  <c:v>25.25</c:v>
                </c:pt>
                <c:pt idx="23">
                  <c:v>25.75</c:v>
                </c:pt>
                <c:pt idx="24">
                  <c:v>24.5</c:v>
                </c:pt>
                <c:pt idx="25">
                  <c:v>25</c:v>
                </c:pt>
                <c:pt idx="26">
                  <c:v>24</c:v>
                </c:pt>
                <c:pt idx="27">
                  <c:v>24.5</c:v>
                </c:pt>
                <c:pt idx="28">
                  <c:v>24.5</c:v>
                </c:pt>
                <c:pt idx="29">
                  <c:v>26.5</c:v>
                </c:pt>
                <c:pt idx="30">
                  <c:v>25.25</c:v>
                </c:pt>
                <c:pt idx="31">
                  <c:v>24.5</c:v>
                </c:pt>
                <c:pt idx="32">
                  <c:v>25</c:v>
                </c:pt>
                <c:pt idx="33">
                  <c:v>25.25</c:v>
                </c:pt>
                <c:pt idx="34">
                  <c:v>24.25</c:v>
                </c:pt>
                <c:pt idx="35">
                  <c:v>22.8</c:v>
                </c:pt>
                <c:pt idx="36">
                  <c:v>22.4</c:v>
                </c:pt>
                <c:pt idx="37">
                  <c:v>22</c:v>
                </c:pt>
                <c:pt idx="38">
                  <c:v>21.6</c:v>
                </c:pt>
                <c:pt idx="39">
                  <c:v>23</c:v>
                </c:pt>
                <c:pt idx="40">
                  <c:v>22.6</c:v>
                </c:pt>
                <c:pt idx="41">
                  <c:v>21</c:v>
                </c:pt>
                <c:pt idx="42">
                  <c:v>20</c:v>
                </c:pt>
                <c:pt idx="43">
                  <c:v>19.399999999999999</c:v>
                </c:pt>
                <c:pt idx="44">
                  <c:v>18.8</c:v>
                </c:pt>
                <c:pt idx="45">
                  <c:v>20.6</c:v>
                </c:pt>
                <c:pt idx="46">
                  <c:v>20</c:v>
                </c:pt>
                <c:pt idx="47">
                  <c:v>19.600000000000001</c:v>
                </c:pt>
                <c:pt idx="48">
                  <c:v>20.2</c:v>
                </c:pt>
                <c:pt idx="49">
                  <c:v>20.399999999999999</c:v>
                </c:pt>
                <c:pt idx="50">
                  <c:v>19.399999999999999</c:v>
                </c:pt>
                <c:pt idx="51">
                  <c:v>18.2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B4-4868-AAC4-8FB65498727F}"/>
            </c:ext>
          </c:extLst>
        </c:ser>
        <c:ser>
          <c:idx val="4"/>
          <c:order val="4"/>
          <c:tx>
            <c:strRef>
              <c:f>Chart!$E$4</c:f>
              <c:strCache>
                <c:ptCount val="1"/>
                <c:pt idx="0">
                  <c:v>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Chart!$A$5:$A$57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Chart!$E$6:$E$57</c:f>
              <c:numCache>
                <c:formatCode>#,##0.00_);\(#,##0.00\)</c:formatCode>
                <c:ptCount val="52"/>
                <c:pt idx="0">
                  <c:v>10.199999999999999</c:v>
                </c:pt>
                <c:pt idx="1">
                  <c:v>10</c:v>
                </c:pt>
                <c:pt idx="2">
                  <c:v>9.6</c:v>
                </c:pt>
                <c:pt idx="3">
                  <c:v>9</c:v>
                </c:pt>
                <c:pt idx="4">
                  <c:v>8.4</c:v>
                </c:pt>
                <c:pt idx="5">
                  <c:v>5.8</c:v>
                </c:pt>
                <c:pt idx="6">
                  <c:v>5.2</c:v>
                </c:pt>
                <c:pt idx="7">
                  <c:v>4.5999999999999996</c:v>
                </c:pt>
                <c:pt idx="8">
                  <c:v>4.4000000000000004</c:v>
                </c:pt>
                <c:pt idx="9">
                  <c:v>5</c:v>
                </c:pt>
                <c:pt idx="10">
                  <c:v>4</c:v>
                </c:pt>
                <c:pt idx="11">
                  <c:v>3.8</c:v>
                </c:pt>
                <c:pt idx="12">
                  <c:v>4</c:v>
                </c:pt>
                <c:pt idx="13">
                  <c:v>4.8</c:v>
                </c:pt>
                <c:pt idx="14">
                  <c:v>5.2</c:v>
                </c:pt>
                <c:pt idx="15">
                  <c:v>6</c:v>
                </c:pt>
                <c:pt idx="16">
                  <c:v>6.8</c:v>
                </c:pt>
                <c:pt idx="17" formatCode="0.00_);\(0.00\)">
                  <c:v>6</c:v>
                </c:pt>
                <c:pt idx="18">
                  <c:v>6.6</c:v>
                </c:pt>
                <c:pt idx="19">
                  <c:v>7</c:v>
                </c:pt>
                <c:pt idx="20">
                  <c:v>9.6</c:v>
                </c:pt>
                <c:pt idx="21">
                  <c:v>8.4</c:v>
                </c:pt>
                <c:pt idx="22">
                  <c:v>8.8000000000000007</c:v>
                </c:pt>
                <c:pt idx="23">
                  <c:v>9.4</c:v>
                </c:pt>
                <c:pt idx="24">
                  <c:v>8.4</c:v>
                </c:pt>
                <c:pt idx="25">
                  <c:v>8.4</c:v>
                </c:pt>
                <c:pt idx="26">
                  <c:v>9.1999999999999993</c:v>
                </c:pt>
                <c:pt idx="27">
                  <c:v>8.6</c:v>
                </c:pt>
                <c:pt idx="28">
                  <c:v>10.199999999999999</c:v>
                </c:pt>
                <c:pt idx="29">
                  <c:v>10.199999999999999</c:v>
                </c:pt>
                <c:pt idx="30">
                  <c:v>11.2</c:v>
                </c:pt>
                <c:pt idx="31">
                  <c:v>11</c:v>
                </c:pt>
                <c:pt idx="32">
                  <c:v>11.8</c:v>
                </c:pt>
                <c:pt idx="33">
                  <c:v>12</c:v>
                </c:pt>
                <c:pt idx="34">
                  <c:v>14</c:v>
                </c:pt>
                <c:pt idx="35">
                  <c:v>14.2</c:v>
                </c:pt>
                <c:pt idx="36">
                  <c:v>15.4</c:v>
                </c:pt>
                <c:pt idx="37">
                  <c:v>17.8</c:v>
                </c:pt>
                <c:pt idx="38">
                  <c:v>21.4</c:v>
                </c:pt>
                <c:pt idx="39">
                  <c:v>23</c:v>
                </c:pt>
                <c:pt idx="40">
                  <c:v>23.4</c:v>
                </c:pt>
                <c:pt idx="41">
                  <c:v>25.6</c:v>
                </c:pt>
                <c:pt idx="42">
                  <c:v>25.2</c:v>
                </c:pt>
                <c:pt idx="43">
                  <c:v>24.4</c:v>
                </c:pt>
                <c:pt idx="44">
                  <c:v>24.2</c:v>
                </c:pt>
                <c:pt idx="45">
                  <c:v>24.6</c:v>
                </c:pt>
                <c:pt idx="46">
                  <c:v>24</c:v>
                </c:pt>
                <c:pt idx="47">
                  <c:v>23.8</c:v>
                </c:pt>
                <c:pt idx="48">
                  <c:v>23.6</c:v>
                </c:pt>
                <c:pt idx="49">
                  <c:v>23.2</c:v>
                </c:pt>
                <c:pt idx="5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E9-4BB3-9057-884E1EE454B4}"/>
            </c:ext>
          </c:extLst>
        </c:ser>
        <c:ser>
          <c:idx val="3"/>
          <c:order val="5"/>
          <c:tx>
            <c:strRef>
              <c:f>Chart!$F$4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Chart!$A$5:$A$57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Chart!$F$5:$F$56</c:f>
              <c:numCache>
                <c:formatCode>#,##0.00_);\(#,##0.00\)</c:formatCode>
                <c:ptCount val="52"/>
                <c:pt idx="1">
                  <c:v>25.3</c:v>
                </c:pt>
                <c:pt idx="2">
                  <c:v>24.2</c:v>
                </c:pt>
                <c:pt idx="3">
                  <c:v>23.925000000000001</c:v>
                </c:pt>
                <c:pt idx="4">
                  <c:v>23.925000000000001</c:v>
                </c:pt>
                <c:pt idx="5">
                  <c:v>21.45</c:v>
                </c:pt>
                <c:pt idx="6">
                  <c:v>21.175000000000001</c:v>
                </c:pt>
                <c:pt idx="7">
                  <c:v>19.524999999999999</c:v>
                </c:pt>
                <c:pt idx="8">
                  <c:v>18.149999999999999</c:v>
                </c:pt>
                <c:pt idx="9">
                  <c:v>17.324999999999999</c:v>
                </c:pt>
                <c:pt idx="10">
                  <c:v>15.95</c:v>
                </c:pt>
                <c:pt idx="11">
                  <c:v>15.675000000000001</c:v>
                </c:pt>
                <c:pt idx="12">
                  <c:v>15.95</c:v>
                </c:pt>
                <c:pt idx="13">
                  <c:v>14.85</c:v>
                </c:pt>
                <c:pt idx="14">
                  <c:v>15.95</c:v>
                </c:pt>
                <c:pt idx="15">
                  <c:v>15.125</c:v>
                </c:pt>
                <c:pt idx="16">
                  <c:v>15.4</c:v>
                </c:pt>
                <c:pt idx="17">
                  <c:v>13.475</c:v>
                </c:pt>
                <c:pt idx="18" formatCode="0.00_);\(0.00\)">
                  <c:v>13.75</c:v>
                </c:pt>
                <c:pt idx="19">
                  <c:v>14.3</c:v>
                </c:pt>
                <c:pt idx="20">
                  <c:v>14.3</c:v>
                </c:pt>
                <c:pt idx="21">
                  <c:v>13.475</c:v>
                </c:pt>
                <c:pt idx="22">
                  <c:v>12.925000000000001</c:v>
                </c:pt>
                <c:pt idx="23">
                  <c:v>12.925000000000001</c:v>
                </c:pt>
                <c:pt idx="24">
                  <c:v>12.375</c:v>
                </c:pt>
                <c:pt idx="25">
                  <c:v>12.65</c:v>
                </c:pt>
                <c:pt idx="26">
                  <c:v>13</c:v>
                </c:pt>
                <c:pt idx="27">
                  <c:v>13</c:v>
                </c:pt>
                <c:pt idx="28">
                  <c:v>13.75</c:v>
                </c:pt>
                <c:pt idx="29">
                  <c:v>13.5</c:v>
                </c:pt>
                <c:pt idx="30">
                  <c:v>13.5</c:v>
                </c:pt>
                <c:pt idx="31">
                  <c:v>12.5</c:v>
                </c:pt>
                <c:pt idx="32">
                  <c:v>13.25</c:v>
                </c:pt>
                <c:pt idx="33">
                  <c:v>15</c:v>
                </c:pt>
                <c:pt idx="34">
                  <c:v>15.75</c:v>
                </c:pt>
                <c:pt idx="35">
                  <c:v>15.75</c:v>
                </c:pt>
                <c:pt idx="36">
                  <c:v>15.75</c:v>
                </c:pt>
                <c:pt idx="37">
                  <c:v>16.25</c:v>
                </c:pt>
                <c:pt idx="38">
                  <c:v>16.75</c:v>
                </c:pt>
                <c:pt idx="39">
                  <c:v>16.5</c:v>
                </c:pt>
                <c:pt idx="40">
                  <c:v>16</c:v>
                </c:pt>
                <c:pt idx="41">
                  <c:v>17.75</c:v>
                </c:pt>
                <c:pt idx="42">
                  <c:v>18.5</c:v>
                </c:pt>
                <c:pt idx="43">
                  <c:v>18.25</c:v>
                </c:pt>
                <c:pt idx="44">
                  <c:v>17.600000000000001</c:v>
                </c:pt>
                <c:pt idx="45">
                  <c:v>16.100000000000001</c:v>
                </c:pt>
                <c:pt idx="46">
                  <c:v>15.378</c:v>
                </c:pt>
                <c:pt idx="47">
                  <c:v>13.98</c:v>
                </c:pt>
                <c:pt idx="48">
                  <c:v>12.11</c:v>
                </c:pt>
                <c:pt idx="49">
                  <c:v>10.951000000000001</c:v>
                </c:pt>
                <c:pt idx="50">
                  <c:v>10.8</c:v>
                </c:pt>
                <c:pt idx="51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C0-440D-B427-0E2B4B44021C}"/>
            </c:ext>
          </c:extLst>
        </c:ser>
        <c:ser>
          <c:idx val="0"/>
          <c:order val="6"/>
          <c:tx>
            <c:strRef>
              <c:f>Chart!$G$4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Chart!$A$5:$A$57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Chart!$G$5:$G$57</c:f>
              <c:numCache>
                <c:formatCode>#,##0.00_);\(#,##0.00\)</c:formatCode>
                <c:ptCount val="53"/>
                <c:pt idx="1">
                  <c:v>19.25</c:v>
                </c:pt>
                <c:pt idx="2">
                  <c:v>18.7</c:v>
                </c:pt>
                <c:pt idx="3">
                  <c:v>17.05</c:v>
                </c:pt>
                <c:pt idx="4">
                  <c:v>16.78</c:v>
                </c:pt>
                <c:pt idx="5">
                  <c:v>15.95</c:v>
                </c:pt>
                <c:pt idx="6">
                  <c:v>14.574999999999999</c:v>
                </c:pt>
                <c:pt idx="7">
                  <c:v>13.75</c:v>
                </c:pt>
                <c:pt idx="8">
                  <c:v>12.65</c:v>
                </c:pt>
                <c:pt idx="9">
                  <c:v>10.725</c:v>
                </c:pt>
                <c:pt idx="10">
                  <c:v>9.625</c:v>
                </c:pt>
                <c:pt idx="11">
                  <c:v>9.9</c:v>
                </c:pt>
                <c:pt idx="12">
                  <c:v>9.35</c:v>
                </c:pt>
                <c:pt idx="13">
                  <c:v>10.45</c:v>
                </c:pt>
                <c:pt idx="14">
                  <c:v>11.824999999999999</c:v>
                </c:pt>
                <c:pt idx="15">
                  <c:v>12.375</c:v>
                </c:pt>
                <c:pt idx="16">
                  <c:v>14.574999999999999</c:v>
                </c:pt>
                <c:pt idx="17">
                  <c:v>15.675000000000001</c:v>
                </c:pt>
                <c:pt idx="18" formatCode="0.00_);\(0.00\)">
                  <c:v>17.600000000000001</c:v>
                </c:pt>
                <c:pt idx="19">
                  <c:v>20.350000000000001</c:v>
                </c:pt>
                <c:pt idx="20">
                  <c:v>22.274999999999999</c:v>
                </c:pt>
                <c:pt idx="21">
                  <c:v>21.725000000000001</c:v>
                </c:pt>
                <c:pt idx="22">
                  <c:v>22.824999999999999</c:v>
                </c:pt>
                <c:pt idx="23">
                  <c:v>23.375</c:v>
                </c:pt>
                <c:pt idx="24">
                  <c:v>22</c:v>
                </c:pt>
                <c:pt idx="25">
                  <c:v>22.274999999999999</c:v>
                </c:pt>
                <c:pt idx="26">
                  <c:v>20.625</c:v>
                </c:pt>
                <c:pt idx="27">
                  <c:v>18.975000000000001</c:v>
                </c:pt>
                <c:pt idx="28">
                  <c:v>18.975000000000001</c:v>
                </c:pt>
                <c:pt idx="29">
                  <c:v>20.074999999999999</c:v>
                </c:pt>
                <c:pt idx="30">
                  <c:v>20.9</c:v>
                </c:pt>
                <c:pt idx="31">
                  <c:v>21.45</c:v>
                </c:pt>
                <c:pt idx="32">
                  <c:v>22.274999999999999</c:v>
                </c:pt>
                <c:pt idx="33">
                  <c:v>23.65</c:v>
                </c:pt>
                <c:pt idx="34">
                  <c:v>23.925000000000001</c:v>
                </c:pt>
                <c:pt idx="35">
                  <c:v>23.65</c:v>
                </c:pt>
                <c:pt idx="36">
                  <c:v>23.1</c:v>
                </c:pt>
                <c:pt idx="37">
                  <c:v>23.925000000000001</c:v>
                </c:pt>
                <c:pt idx="38">
                  <c:v>23.925000000000001</c:v>
                </c:pt>
                <c:pt idx="39">
                  <c:v>23.925000000000001</c:v>
                </c:pt>
                <c:pt idx="40">
                  <c:v>25.024999999999999</c:v>
                </c:pt>
                <c:pt idx="41">
                  <c:v>25.024999999999999</c:v>
                </c:pt>
                <c:pt idx="42">
                  <c:v>24.75</c:v>
                </c:pt>
                <c:pt idx="43">
                  <c:v>23.65</c:v>
                </c:pt>
                <c:pt idx="44">
                  <c:v>23.375</c:v>
                </c:pt>
                <c:pt idx="45">
                  <c:v>26.4</c:v>
                </c:pt>
                <c:pt idx="46">
                  <c:v>25.3</c:v>
                </c:pt>
                <c:pt idx="47">
                  <c:v>27.5</c:v>
                </c:pt>
                <c:pt idx="48">
                  <c:v>26.125</c:v>
                </c:pt>
                <c:pt idx="49">
                  <c:v>25.024999999999999</c:v>
                </c:pt>
                <c:pt idx="50">
                  <c:v>27.5</c:v>
                </c:pt>
                <c:pt idx="51">
                  <c:v>27.774999999999999</c:v>
                </c:pt>
                <c:pt idx="52">
                  <c:v>26.95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1-49B8-9333-E8A5B3DA91AA}"/>
            </c:ext>
          </c:extLst>
        </c:ser>
        <c:ser>
          <c:idx val="1"/>
          <c:order val="7"/>
          <c:tx>
            <c:strRef>
              <c:f>Chart!$H$4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Chart!$A$5:$A$57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Chart!$H$5:$H$57</c:f>
              <c:numCache>
                <c:formatCode>#,##0.00_);\(#,##0.00\)</c:formatCode>
                <c:ptCount val="53"/>
                <c:pt idx="1">
                  <c:v>9.8000000000000007</c:v>
                </c:pt>
                <c:pt idx="2">
                  <c:v>9.1999999999999993</c:v>
                </c:pt>
                <c:pt idx="3">
                  <c:v>8.1999999999999993</c:v>
                </c:pt>
                <c:pt idx="4">
                  <c:v>7.6</c:v>
                </c:pt>
                <c:pt idx="5">
                  <c:v>5.6</c:v>
                </c:pt>
                <c:pt idx="6">
                  <c:v>6.1999999999999993</c:v>
                </c:pt>
                <c:pt idx="7">
                  <c:v>6.4</c:v>
                </c:pt>
                <c:pt idx="8">
                  <c:v>5.6</c:v>
                </c:pt>
                <c:pt idx="9">
                  <c:v>4.5999999999999996</c:v>
                </c:pt>
                <c:pt idx="10">
                  <c:v>4.4000000000000004</c:v>
                </c:pt>
                <c:pt idx="11">
                  <c:v>4.5999999999999996</c:v>
                </c:pt>
                <c:pt idx="12">
                  <c:v>4.8</c:v>
                </c:pt>
                <c:pt idx="13">
                  <c:v>4.8</c:v>
                </c:pt>
                <c:pt idx="14">
                  <c:v>4.8</c:v>
                </c:pt>
                <c:pt idx="15">
                  <c:v>5.4</c:v>
                </c:pt>
                <c:pt idx="16">
                  <c:v>8.1999999999999993</c:v>
                </c:pt>
                <c:pt idx="17">
                  <c:v>8.8000000000000007</c:v>
                </c:pt>
                <c:pt idx="18" formatCode="0.00_);\(0.00\)">
                  <c:v>10</c:v>
                </c:pt>
                <c:pt idx="19">
                  <c:v>10.6</c:v>
                </c:pt>
                <c:pt idx="20">
                  <c:v>10.6</c:v>
                </c:pt>
                <c:pt idx="21">
                  <c:v>11.8</c:v>
                </c:pt>
                <c:pt idx="22">
                  <c:v>11.8</c:v>
                </c:pt>
                <c:pt idx="23">
                  <c:v>12.8</c:v>
                </c:pt>
                <c:pt idx="24">
                  <c:v>13.2</c:v>
                </c:pt>
                <c:pt idx="25">
                  <c:v>12.6</c:v>
                </c:pt>
                <c:pt idx="26">
                  <c:v>13.2</c:v>
                </c:pt>
                <c:pt idx="27">
                  <c:v>13.8</c:v>
                </c:pt>
                <c:pt idx="28">
                  <c:v>13.600000000000001</c:v>
                </c:pt>
                <c:pt idx="29">
                  <c:v>11.8</c:v>
                </c:pt>
                <c:pt idx="30">
                  <c:v>11</c:v>
                </c:pt>
                <c:pt idx="31">
                  <c:v>10.4</c:v>
                </c:pt>
                <c:pt idx="32">
                  <c:v>10.199999999999999</c:v>
                </c:pt>
                <c:pt idx="33">
                  <c:v>10.6</c:v>
                </c:pt>
                <c:pt idx="34">
                  <c:v>11.2</c:v>
                </c:pt>
                <c:pt idx="35">
                  <c:v>11.4</c:v>
                </c:pt>
                <c:pt idx="36">
                  <c:v>12.6</c:v>
                </c:pt>
                <c:pt idx="37">
                  <c:v>14.6</c:v>
                </c:pt>
                <c:pt idx="38">
                  <c:v>14.6</c:v>
                </c:pt>
                <c:pt idx="39">
                  <c:v>15</c:v>
                </c:pt>
                <c:pt idx="40">
                  <c:v>15.6</c:v>
                </c:pt>
                <c:pt idx="41">
                  <c:v>16.600000000000001</c:v>
                </c:pt>
                <c:pt idx="42">
                  <c:v>17.600000000000001</c:v>
                </c:pt>
                <c:pt idx="43">
                  <c:v>18.399999999999999</c:v>
                </c:pt>
                <c:pt idx="44">
                  <c:v>17</c:v>
                </c:pt>
                <c:pt idx="45">
                  <c:v>18.8</c:v>
                </c:pt>
                <c:pt idx="46">
                  <c:v>18.8</c:v>
                </c:pt>
                <c:pt idx="47">
                  <c:v>19.600000000000001</c:v>
                </c:pt>
                <c:pt idx="48">
                  <c:v>18.8</c:v>
                </c:pt>
                <c:pt idx="49">
                  <c:v>18.600000000000001</c:v>
                </c:pt>
                <c:pt idx="50">
                  <c:v>17.8</c:v>
                </c:pt>
                <c:pt idx="51">
                  <c:v>20.63</c:v>
                </c:pt>
                <c:pt idx="52">
                  <c:v>20.63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C1-49B8-9333-E8A5B3DA91AA}"/>
            </c:ext>
          </c:extLst>
        </c:ser>
        <c:ser>
          <c:idx val="2"/>
          <c:order val="8"/>
          <c:tx>
            <c:strRef>
              <c:f>Chart!$I$4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Chart!$A$5:$A$57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Chart!$I$5:$I$57</c:f>
              <c:numCache>
                <c:formatCode>#,##0.00_);\(#,##0.00\)</c:formatCode>
                <c:ptCount val="53"/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6.6</c:v>
                </c:pt>
                <c:pt idx="5">
                  <c:v>4.5999999999999996</c:v>
                </c:pt>
                <c:pt idx="6">
                  <c:v>3.4</c:v>
                </c:pt>
                <c:pt idx="7">
                  <c:v>3.4000000000000004</c:v>
                </c:pt>
                <c:pt idx="8">
                  <c:v>2.9</c:v>
                </c:pt>
                <c:pt idx="9">
                  <c:v>3.5999999999999996</c:v>
                </c:pt>
                <c:pt idx="10">
                  <c:v>4.7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4.7</c:v>
                </c:pt>
                <c:pt idx="14">
                  <c:v>5.4</c:v>
                </c:pt>
                <c:pt idx="15">
                  <c:v>5.3</c:v>
                </c:pt>
                <c:pt idx="16">
                  <c:v>6.5</c:v>
                </c:pt>
                <c:pt idx="17">
                  <c:v>6.9</c:v>
                </c:pt>
                <c:pt idx="18" formatCode="0.00_);\(0.00\)">
                  <c:v>7.8</c:v>
                </c:pt>
                <c:pt idx="19">
                  <c:v>7.6</c:v>
                </c:pt>
                <c:pt idx="20">
                  <c:v>7.8</c:v>
                </c:pt>
                <c:pt idx="21">
                  <c:v>7.8</c:v>
                </c:pt>
                <c:pt idx="22">
                  <c:v>7.8000000000000007</c:v>
                </c:pt>
                <c:pt idx="23">
                  <c:v>8.8000000000000007</c:v>
                </c:pt>
                <c:pt idx="24">
                  <c:v>9.1999999999999993</c:v>
                </c:pt>
                <c:pt idx="25">
                  <c:v>9.3000000000000007</c:v>
                </c:pt>
                <c:pt idx="26">
                  <c:v>9.3000000000000007</c:v>
                </c:pt>
                <c:pt idx="27">
                  <c:v>8.1000000000000014</c:v>
                </c:pt>
                <c:pt idx="28">
                  <c:v>7.9499999999999993</c:v>
                </c:pt>
                <c:pt idx="29">
                  <c:v>7.6499999999999995</c:v>
                </c:pt>
                <c:pt idx="30">
                  <c:v>7.5</c:v>
                </c:pt>
                <c:pt idx="31">
                  <c:v>6.6</c:v>
                </c:pt>
                <c:pt idx="32">
                  <c:v>7.2</c:v>
                </c:pt>
                <c:pt idx="33">
                  <c:v>7.2</c:v>
                </c:pt>
                <c:pt idx="34">
                  <c:v>7.65</c:v>
                </c:pt>
                <c:pt idx="35">
                  <c:v>6.9</c:v>
                </c:pt>
                <c:pt idx="36">
                  <c:v>7.5</c:v>
                </c:pt>
                <c:pt idx="37">
                  <c:v>7.95</c:v>
                </c:pt>
                <c:pt idx="38">
                  <c:v>7.95</c:v>
                </c:pt>
                <c:pt idx="39">
                  <c:v>9.6</c:v>
                </c:pt>
                <c:pt idx="40">
                  <c:v>9.75</c:v>
                </c:pt>
                <c:pt idx="41">
                  <c:v>9.15</c:v>
                </c:pt>
                <c:pt idx="42">
                  <c:v>8.6999999999999993</c:v>
                </c:pt>
                <c:pt idx="43">
                  <c:v>12</c:v>
                </c:pt>
                <c:pt idx="44">
                  <c:v>12</c:v>
                </c:pt>
                <c:pt idx="45">
                  <c:v>14</c:v>
                </c:pt>
                <c:pt idx="46">
                  <c:v>14.8</c:v>
                </c:pt>
                <c:pt idx="47">
                  <c:v>14.6</c:v>
                </c:pt>
                <c:pt idx="48">
                  <c:v>14.6</c:v>
                </c:pt>
                <c:pt idx="49">
                  <c:v>14.6</c:v>
                </c:pt>
                <c:pt idx="50">
                  <c:v>14.2</c:v>
                </c:pt>
                <c:pt idx="51">
                  <c:v>12.8</c:v>
                </c:pt>
                <c:pt idx="52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B-437C-8EB4-A6C3E57C1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955216"/>
        <c:axId val="569957184"/>
      </c:lineChart>
      <c:catAx>
        <c:axId val="56995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57184"/>
        <c:crosses val="autoZero"/>
        <c:auto val="1"/>
        <c:lblAlgn val="ctr"/>
        <c:lblOffset val="100"/>
        <c:noMultiLvlLbl val="0"/>
      </c:catAx>
      <c:valAx>
        <c:axId val="56995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5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>
      <c:oddHeader>&amp;L&amp;T  &amp;D&amp;C&amp;"-,Bold"&amp;14Confidential&amp;R&amp;A  &amp;F</c:oddHeader>
    </c:headerFooter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Iron Tree Service</a:t>
            </a:r>
          </a:p>
          <a:p>
            <a:pPr>
              <a:defRPr/>
            </a:pPr>
            <a:r>
              <a:rPr lang="en-US"/>
              <a:t>Backlog In</a:t>
            </a:r>
          </a:p>
          <a:p>
            <a:pPr>
              <a:defRPr/>
            </a:pPr>
            <a:r>
              <a:rPr lang="en-US"/>
              <a:t>Bucket Crew weeks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922537172947955E-2"/>
          <c:y val="0.10335722880061446"/>
          <c:w val="0.95836078524837609"/>
          <c:h val="0.82740448018875168"/>
        </c:manualLayout>
      </c:layout>
      <c:lineChart>
        <c:grouping val="standard"/>
        <c:varyColors val="0"/>
        <c:ser>
          <c:idx val="7"/>
          <c:order val="0"/>
          <c:tx>
            <c:v>2026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Chart!$M$6:$M$57</c:f>
              <c:numCache>
                <c:formatCode>0.00_);\(0.00\)</c:formatCode>
                <c:ptCount val="52"/>
                <c:pt idx="0">
                  <c:v>34</c:v>
                </c:pt>
                <c:pt idx="1">
                  <c:v>32.5</c:v>
                </c:pt>
                <c:pt idx="2">
                  <c:v>30</c:v>
                </c:pt>
                <c:pt idx="3">
                  <c:v>26</c:v>
                </c:pt>
                <c:pt idx="4">
                  <c:v>22.5</c:v>
                </c:pt>
                <c:pt idx="5">
                  <c:v>22</c:v>
                </c:pt>
                <c:pt idx="6">
                  <c:v>18.5</c:v>
                </c:pt>
                <c:pt idx="7">
                  <c:v>16</c:v>
                </c:pt>
                <c:pt idx="8">
                  <c:v>14.5</c:v>
                </c:pt>
                <c:pt idx="9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C-40CF-A038-EC8E1D00128B}"/>
            </c:ext>
          </c:extLst>
        </c:ser>
        <c:ser>
          <c:idx val="6"/>
          <c:order val="1"/>
          <c:tx>
            <c:v>2025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Chart!$N$6:$N$57</c:f>
              <c:numCache>
                <c:formatCode>0.00_);\(0.00\)</c:formatCode>
                <c:ptCount val="52"/>
                <c:pt idx="0">
                  <c:v>32.5</c:v>
                </c:pt>
                <c:pt idx="1">
                  <c:v>31</c:v>
                </c:pt>
                <c:pt idx="2">
                  <c:v>29</c:v>
                </c:pt>
                <c:pt idx="3">
                  <c:v>28</c:v>
                </c:pt>
                <c:pt idx="4">
                  <c:v>25</c:v>
                </c:pt>
                <c:pt idx="5">
                  <c:v>22.5</c:v>
                </c:pt>
                <c:pt idx="6">
                  <c:v>18.5</c:v>
                </c:pt>
                <c:pt idx="7">
                  <c:v>17.5</c:v>
                </c:pt>
                <c:pt idx="8">
                  <c:v>17</c:v>
                </c:pt>
                <c:pt idx="9">
                  <c:v>16</c:v>
                </c:pt>
                <c:pt idx="10">
                  <c:v>14</c:v>
                </c:pt>
                <c:pt idx="11">
                  <c:v>14.5</c:v>
                </c:pt>
                <c:pt idx="12">
                  <c:v>17.5</c:v>
                </c:pt>
                <c:pt idx="13">
                  <c:v>19.5</c:v>
                </c:pt>
                <c:pt idx="14">
                  <c:v>21.5</c:v>
                </c:pt>
                <c:pt idx="15">
                  <c:v>21</c:v>
                </c:pt>
                <c:pt idx="16">
                  <c:v>19</c:v>
                </c:pt>
                <c:pt idx="17">
                  <c:v>18.7</c:v>
                </c:pt>
                <c:pt idx="18">
                  <c:v>20.350000000000001</c:v>
                </c:pt>
                <c:pt idx="19">
                  <c:v>19.25</c:v>
                </c:pt>
                <c:pt idx="20">
                  <c:v>18.7</c:v>
                </c:pt>
                <c:pt idx="21">
                  <c:v>19.25</c:v>
                </c:pt>
                <c:pt idx="22">
                  <c:v>20.350000000000001</c:v>
                </c:pt>
                <c:pt idx="23">
                  <c:v>19.8</c:v>
                </c:pt>
                <c:pt idx="24">
                  <c:v>18.7</c:v>
                </c:pt>
                <c:pt idx="25">
                  <c:v>21.45</c:v>
                </c:pt>
                <c:pt idx="26">
                  <c:v>23.65</c:v>
                </c:pt>
                <c:pt idx="27">
                  <c:v>23.65</c:v>
                </c:pt>
                <c:pt idx="28">
                  <c:v>26.4</c:v>
                </c:pt>
                <c:pt idx="29">
                  <c:v>27.6</c:v>
                </c:pt>
                <c:pt idx="30">
                  <c:v>27</c:v>
                </c:pt>
                <c:pt idx="31">
                  <c:v>27</c:v>
                </c:pt>
                <c:pt idx="32">
                  <c:v>28.2</c:v>
                </c:pt>
                <c:pt idx="33">
                  <c:v>28.8</c:v>
                </c:pt>
                <c:pt idx="34">
                  <c:v>30</c:v>
                </c:pt>
                <c:pt idx="35">
                  <c:v>30.6</c:v>
                </c:pt>
                <c:pt idx="36">
                  <c:v>31.2</c:v>
                </c:pt>
                <c:pt idx="37">
                  <c:v>30</c:v>
                </c:pt>
                <c:pt idx="38">
                  <c:v>33</c:v>
                </c:pt>
                <c:pt idx="39">
                  <c:v>33</c:v>
                </c:pt>
                <c:pt idx="40">
                  <c:v>36</c:v>
                </c:pt>
                <c:pt idx="41">
                  <c:v>37.799999999999997</c:v>
                </c:pt>
                <c:pt idx="42">
                  <c:v>36.6</c:v>
                </c:pt>
                <c:pt idx="43">
                  <c:v>37.200000000000003</c:v>
                </c:pt>
                <c:pt idx="44">
                  <c:v>34.799999999999997</c:v>
                </c:pt>
                <c:pt idx="45">
                  <c:v>34.200000000000003</c:v>
                </c:pt>
                <c:pt idx="46">
                  <c:v>33</c:v>
                </c:pt>
                <c:pt idx="47">
                  <c:v>30.5</c:v>
                </c:pt>
                <c:pt idx="48">
                  <c:v>29</c:v>
                </c:pt>
                <c:pt idx="50">
                  <c:v>24.5</c:v>
                </c:pt>
                <c:pt idx="5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0-426C-A885-AF250C93F132}"/>
            </c:ext>
          </c:extLst>
        </c:ser>
        <c:ser>
          <c:idx val="5"/>
          <c:order val="2"/>
          <c:tx>
            <c:v>2024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Chart!$O$6:$O$57</c:f>
              <c:numCache>
                <c:formatCode>0.00_);\(0.00\)</c:formatCode>
                <c:ptCount val="52"/>
                <c:pt idx="0">
                  <c:v>44</c:v>
                </c:pt>
                <c:pt idx="1">
                  <c:v>42</c:v>
                </c:pt>
                <c:pt idx="2">
                  <c:v>42</c:v>
                </c:pt>
                <c:pt idx="3">
                  <c:v>39</c:v>
                </c:pt>
                <c:pt idx="4">
                  <c:v>37</c:v>
                </c:pt>
                <c:pt idx="5">
                  <c:v>34</c:v>
                </c:pt>
                <c:pt idx="6">
                  <c:v>31</c:v>
                </c:pt>
                <c:pt idx="7">
                  <c:v>28.5</c:v>
                </c:pt>
                <c:pt idx="8">
                  <c:v>25</c:v>
                </c:pt>
                <c:pt idx="9">
                  <c:v>23.5</c:v>
                </c:pt>
                <c:pt idx="10">
                  <c:v>22</c:v>
                </c:pt>
                <c:pt idx="11">
                  <c:v>22.5</c:v>
                </c:pt>
                <c:pt idx="12">
                  <c:v>22.5</c:v>
                </c:pt>
                <c:pt idx="13">
                  <c:v>23</c:v>
                </c:pt>
                <c:pt idx="14">
                  <c:v>23.5</c:v>
                </c:pt>
                <c:pt idx="15">
                  <c:v>24.5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27.5</c:v>
                </c:pt>
                <c:pt idx="20">
                  <c:v>28</c:v>
                </c:pt>
                <c:pt idx="21">
                  <c:v>28.5</c:v>
                </c:pt>
                <c:pt idx="22">
                  <c:v>29.5</c:v>
                </c:pt>
                <c:pt idx="23">
                  <c:v>30</c:v>
                </c:pt>
                <c:pt idx="24">
                  <c:v>32.5</c:v>
                </c:pt>
                <c:pt idx="25">
                  <c:v>32.5</c:v>
                </c:pt>
                <c:pt idx="26">
                  <c:v>34</c:v>
                </c:pt>
                <c:pt idx="27">
                  <c:v>37</c:v>
                </c:pt>
                <c:pt idx="28">
                  <c:v>37</c:v>
                </c:pt>
                <c:pt idx="29">
                  <c:v>39</c:v>
                </c:pt>
                <c:pt idx="30">
                  <c:v>42.5</c:v>
                </c:pt>
                <c:pt idx="31">
                  <c:v>42</c:v>
                </c:pt>
                <c:pt idx="32">
                  <c:v>43.5</c:v>
                </c:pt>
                <c:pt idx="33">
                  <c:v>45</c:v>
                </c:pt>
                <c:pt idx="34">
                  <c:v>46.5</c:v>
                </c:pt>
                <c:pt idx="35">
                  <c:v>47</c:v>
                </c:pt>
                <c:pt idx="36">
                  <c:v>48</c:v>
                </c:pt>
                <c:pt idx="37">
                  <c:v>48</c:v>
                </c:pt>
                <c:pt idx="38">
                  <c:v>50</c:v>
                </c:pt>
                <c:pt idx="39">
                  <c:v>55.5</c:v>
                </c:pt>
                <c:pt idx="40">
                  <c:v>48.5</c:v>
                </c:pt>
                <c:pt idx="41">
                  <c:v>46.5</c:v>
                </c:pt>
                <c:pt idx="42">
                  <c:v>44.5</c:v>
                </c:pt>
                <c:pt idx="43">
                  <c:v>42.5</c:v>
                </c:pt>
                <c:pt idx="44">
                  <c:v>40</c:v>
                </c:pt>
                <c:pt idx="45">
                  <c:v>48.5</c:v>
                </c:pt>
                <c:pt idx="46">
                  <c:v>44.5</c:v>
                </c:pt>
                <c:pt idx="47">
                  <c:v>43</c:v>
                </c:pt>
                <c:pt idx="48">
                  <c:v>41.5</c:v>
                </c:pt>
                <c:pt idx="49">
                  <c:v>41.5</c:v>
                </c:pt>
                <c:pt idx="50">
                  <c:v>39</c:v>
                </c:pt>
                <c:pt idx="51">
                  <c:v>35.5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A2-4EBA-B263-598D9A680BAC}"/>
            </c:ext>
          </c:extLst>
        </c:ser>
        <c:ser>
          <c:idx val="4"/>
          <c:order val="3"/>
          <c:tx>
            <c:v>2023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Chart!$L$5:$L$57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Chart!$P$6:$P$57</c:f>
              <c:numCache>
                <c:formatCode>#,##0.00_);\(#,##0.00\)</c:formatCode>
                <c:ptCount val="52"/>
                <c:pt idx="0">
                  <c:v>24.4</c:v>
                </c:pt>
                <c:pt idx="1">
                  <c:v>24</c:v>
                </c:pt>
                <c:pt idx="2">
                  <c:v>21.6</c:v>
                </c:pt>
                <c:pt idx="3">
                  <c:v>19.600000000000001</c:v>
                </c:pt>
                <c:pt idx="4">
                  <c:v>19.2</c:v>
                </c:pt>
                <c:pt idx="5">
                  <c:v>16.8</c:v>
                </c:pt>
                <c:pt idx="6">
                  <c:v>16.399999999999999</c:v>
                </c:pt>
                <c:pt idx="7">
                  <c:v>18.399999999999999</c:v>
                </c:pt>
                <c:pt idx="8">
                  <c:v>18</c:v>
                </c:pt>
                <c:pt idx="9">
                  <c:v>16.399999999999999</c:v>
                </c:pt>
                <c:pt idx="10">
                  <c:v>15.6</c:v>
                </c:pt>
                <c:pt idx="11">
                  <c:v>13.2</c:v>
                </c:pt>
                <c:pt idx="12">
                  <c:v>12.4</c:v>
                </c:pt>
                <c:pt idx="13">
                  <c:v>10.8</c:v>
                </c:pt>
                <c:pt idx="14">
                  <c:v>12.8</c:v>
                </c:pt>
                <c:pt idx="15">
                  <c:v>12.8</c:v>
                </c:pt>
                <c:pt idx="16">
                  <c:v>14</c:v>
                </c:pt>
                <c:pt idx="17">
                  <c:v>13.2</c:v>
                </c:pt>
                <c:pt idx="18">
                  <c:v>12.4</c:v>
                </c:pt>
                <c:pt idx="19">
                  <c:v>15.6</c:v>
                </c:pt>
                <c:pt idx="20">
                  <c:v>14</c:v>
                </c:pt>
                <c:pt idx="21">
                  <c:v>13.6</c:v>
                </c:pt>
                <c:pt idx="22">
                  <c:v>14</c:v>
                </c:pt>
                <c:pt idx="23">
                  <c:v>14.4</c:v>
                </c:pt>
                <c:pt idx="24">
                  <c:v>13.6</c:v>
                </c:pt>
                <c:pt idx="25">
                  <c:v>14.4</c:v>
                </c:pt>
                <c:pt idx="26">
                  <c:v>15.2</c:v>
                </c:pt>
                <c:pt idx="27">
                  <c:v>15.6</c:v>
                </c:pt>
                <c:pt idx="28">
                  <c:v>18.8</c:v>
                </c:pt>
                <c:pt idx="29">
                  <c:v>22</c:v>
                </c:pt>
                <c:pt idx="30">
                  <c:v>23.2</c:v>
                </c:pt>
                <c:pt idx="31">
                  <c:v>24</c:v>
                </c:pt>
                <c:pt idx="32">
                  <c:v>26.4</c:v>
                </c:pt>
                <c:pt idx="33">
                  <c:v>28.8</c:v>
                </c:pt>
                <c:pt idx="34">
                  <c:v>30.4</c:v>
                </c:pt>
                <c:pt idx="35">
                  <c:v>31.2</c:v>
                </c:pt>
                <c:pt idx="36">
                  <c:v>34.4</c:v>
                </c:pt>
                <c:pt idx="37">
                  <c:v>35.200000000000003</c:v>
                </c:pt>
                <c:pt idx="38">
                  <c:v>37.200000000000003</c:v>
                </c:pt>
                <c:pt idx="39">
                  <c:v>40.4</c:v>
                </c:pt>
                <c:pt idx="40">
                  <c:v>41.6</c:v>
                </c:pt>
                <c:pt idx="41">
                  <c:v>45.6</c:v>
                </c:pt>
                <c:pt idx="42">
                  <c:v>46</c:v>
                </c:pt>
                <c:pt idx="43">
                  <c:v>44</c:v>
                </c:pt>
                <c:pt idx="44">
                  <c:v>44.8</c:v>
                </c:pt>
                <c:pt idx="45">
                  <c:v>43.2</c:v>
                </c:pt>
                <c:pt idx="46">
                  <c:v>41.2</c:v>
                </c:pt>
                <c:pt idx="47">
                  <c:v>42.4</c:v>
                </c:pt>
                <c:pt idx="48">
                  <c:v>41.2</c:v>
                </c:pt>
                <c:pt idx="49">
                  <c:v>41.6</c:v>
                </c:pt>
                <c:pt idx="5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5-4706-9D00-7D01F137F897}"/>
            </c:ext>
          </c:extLst>
        </c:ser>
        <c:ser>
          <c:idx val="0"/>
          <c:order val="4"/>
          <c:tx>
            <c:strRef>
              <c:f>Chart!$Q$4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Chart!$L$5:$L$57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Chart!$Q$5:$Q$56</c:f>
              <c:numCache>
                <c:formatCode>#,##0.00_);\(#,##0.00\)</c:formatCode>
                <c:ptCount val="52"/>
                <c:pt idx="1">
                  <c:v>50.8</c:v>
                </c:pt>
                <c:pt idx="2">
                  <c:v>47.6</c:v>
                </c:pt>
                <c:pt idx="3">
                  <c:v>46.8</c:v>
                </c:pt>
                <c:pt idx="4">
                  <c:v>44.8</c:v>
                </c:pt>
                <c:pt idx="5">
                  <c:v>42.8</c:v>
                </c:pt>
                <c:pt idx="6">
                  <c:v>40.799999999999997</c:v>
                </c:pt>
                <c:pt idx="7">
                  <c:v>36.799999999999997</c:v>
                </c:pt>
                <c:pt idx="8">
                  <c:v>34</c:v>
                </c:pt>
                <c:pt idx="9">
                  <c:v>30.4</c:v>
                </c:pt>
                <c:pt idx="10">
                  <c:v>29.2</c:v>
                </c:pt>
                <c:pt idx="11">
                  <c:v>27.2</c:v>
                </c:pt>
                <c:pt idx="12">
                  <c:v>26.4</c:v>
                </c:pt>
                <c:pt idx="13">
                  <c:v>26.4</c:v>
                </c:pt>
                <c:pt idx="14">
                  <c:v>26.8</c:v>
                </c:pt>
                <c:pt idx="15">
                  <c:v>26.8</c:v>
                </c:pt>
                <c:pt idx="16">
                  <c:v>26</c:v>
                </c:pt>
                <c:pt idx="17">
                  <c:v>26.4</c:v>
                </c:pt>
                <c:pt idx="18">
                  <c:v>26.8</c:v>
                </c:pt>
                <c:pt idx="19">
                  <c:v>28.4</c:v>
                </c:pt>
                <c:pt idx="20">
                  <c:v>28.4</c:v>
                </c:pt>
                <c:pt idx="21">
                  <c:v>30.4</c:v>
                </c:pt>
                <c:pt idx="22">
                  <c:v>30.8</c:v>
                </c:pt>
                <c:pt idx="23">
                  <c:v>31.6</c:v>
                </c:pt>
                <c:pt idx="24">
                  <c:v>33.200000000000003</c:v>
                </c:pt>
                <c:pt idx="25">
                  <c:v>30.4</c:v>
                </c:pt>
                <c:pt idx="26">
                  <c:v>26.4</c:v>
                </c:pt>
                <c:pt idx="27">
                  <c:v>24.2</c:v>
                </c:pt>
                <c:pt idx="28">
                  <c:v>24.2</c:v>
                </c:pt>
                <c:pt idx="29">
                  <c:v>25.3</c:v>
                </c:pt>
                <c:pt idx="30">
                  <c:v>25.3</c:v>
                </c:pt>
                <c:pt idx="31">
                  <c:v>26.4</c:v>
                </c:pt>
                <c:pt idx="32">
                  <c:v>28.05</c:v>
                </c:pt>
                <c:pt idx="33">
                  <c:v>29.7</c:v>
                </c:pt>
                <c:pt idx="34">
                  <c:v>28.6</c:v>
                </c:pt>
                <c:pt idx="35">
                  <c:v>29.15</c:v>
                </c:pt>
                <c:pt idx="36">
                  <c:v>28.6</c:v>
                </c:pt>
                <c:pt idx="37">
                  <c:v>29.15</c:v>
                </c:pt>
                <c:pt idx="38">
                  <c:v>31.35</c:v>
                </c:pt>
                <c:pt idx="39">
                  <c:v>34.65</c:v>
                </c:pt>
                <c:pt idx="40">
                  <c:v>34.1</c:v>
                </c:pt>
                <c:pt idx="41">
                  <c:v>33.549999999999997</c:v>
                </c:pt>
                <c:pt idx="42">
                  <c:v>35.200000000000003</c:v>
                </c:pt>
                <c:pt idx="43">
                  <c:v>34.1</c:v>
                </c:pt>
                <c:pt idx="44">
                  <c:v>32.450000000000003</c:v>
                </c:pt>
                <c:pt idx="45">
                  <c:v>31.8</c:v>
                </c:pt>
                <c:pt idx="46">
                  <c:v>30.617999999999999</c:v>
                </c:pt>
                <c:pt idx="47">
                  <c:v>31.18</c:v>
                </c:pt>
                <c:pt idx="48">
                  <c:v>27.78</c:v>
                </c:pt>
                <c:pt idx="49">
                  <c:v>24.948</c:v>
                </c:pt>
                <c:pt idx="50">
                  <c:v>26.5</c:v>
                </c:pt>
                <c:pt idx="51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2-419D-83C1-1B0375CCF3AB}"/>
            </c:ext>
          </c:extLst>
        </c:ser>
        <c:ser>
          <c:idx val="1"/>
          <c:order val="5"/>
          <c:tx>
            <c:strRef>
              <c:f>Chart!$R$4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Chart!$L$5:$L$57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Chart!$R$5:$R$57</c:f>
              <c:numCache>
                <c:formatCode>#,##0.00_);\(#,##0.00\)</c:formatCode>
                <c:ptCount val="53"/>
                <c:pt idx="1">
                  <c:v>32.82</c:v>
                </c:pt>
                <c:pt idx="2">
                  <c:v>33.5</c:v>
                </c:pt>
                <c:pt idx="3">
                  <c:v>30.87</c:v>
                </c:pt>
                <c:pt idx="4">
                  <c:v>29.25</c:v>
                </c:pt>
                <c:pt idx="5">
                  <c:v>27.3</c:v>
                </c:pt>
                <c:pt idx="6">
                  <c:v>25.675000000000001</c:v>
                </c:pt>
                <c:pt idx="7">
                  <c:v>24.375</c:v>
                </c:pt>
                <c:pt idx="8">
                  <c:v>22.75</c:v>
                </c:pt>
                <c:pt idx="9">
                  <c:v>21</c:v>
                </c:pt>
                <c:pt idx="10">
                  <c:v>18.375</c:v>
                </c:pt>
                <c:pt idx="11">
                  <c:v>18</c:v>
                </c:pt>
                <c:pt idx="12">
                  <c:v>16.5</c:v>
                </c:pt>
                <c:pt idx="13">
                  <c:v>17.625</c:v>
                </c:pt>
                <c:pt idx="14">
                  <c:v>20.25</c:v>
                </c:pt>
                <c:pt idx="15">
                  <c:v>22.5</c:v>
                </c:pt>
                <c:pt idx="16">
                  <c:v>25.5</c:v>
                </c:pt>
                <c:pt idx="17">
                  <c:v>26.25</c:v>
                </c:pt>
                <c:pt idx="18">
                  <c:v>26.25</c:v>
                </c:pt>
                <c:pt idx="19">
                  <c:v>28.125</c:v>
                </c:pt>
                <c:pt idx="20">
                  <c:v>28.5</c:v>
                </c:pt>
                <c:pt idx="21">
                  <c:v>27.75</c:v>
                </c:pt>
                <c:pt idx="22">
                  <c:v>28.5</c:v>
                </c:pt>
                <c:pt idx="23">
                  <c:v>28.5</c:v>
                </c:pt>
                <c:pt idx="24">
                  <c:v>29.625</c:v>
                </c:pt>
                <c:pt idx="25">
                  <c:v>30</c:v>
                </c:pt>
                <c:pt idx="26">
                  <c:v>30.375</c:v>
                </c:pt>
                <c:pt idx="27">
                  <c:v>30.375</c:v>
                </c:pt>
                <c:pt idx="28">
                  <c:v>30.75</c:v>
                </c:pt>
                <c:pt idx="29">
                  <c:v>31.875</c:v>
                </c:pt>
                <c:pt idx="30">
                  <c:v>33</c:v>
                </c:pt>
                <c:pt idx="31">
                  <c:v>32.25</c:v>
                </c:pt>
                <c:pt idx="32">
                  <c:v>33.75</c:v>
                </c:pt>
                <c:pt idx="33">
                  <c:v>35.25</c:v>
                </c:pt>
                <c:pt idx="34">
                  <c:v>36</c:v>
                </c:pt>
                <c:pt idx="35">
                  <c:v>36</c:v>
                </c:pt>
                <c:pt idx="36">
                  <c:v>37.5</c:v>
                </c:pt>
                <c:pt idx="37">
                  <c:v>37.875</c:v>
                </c:pt>
                <c:pt idx="38">
                  <c:v>40.875</c:v>
                </c:pt>
                <c:pt idx="39">
                  <c:v>41.25</c:v>
                </c:pt>
                <c:pt idx="40">
                  <c:v>41.25</c:v>
                </c:pt>
                <c:pt idx="41">
                  <c:v>40.125</c:v>
                </c:pt>
                <c:pt idx="42">
                  <c:v>41.25</c:v>
                </c:pt>
                <c:pt idx="43">
                  <c:v>41.25</c:v>
                </c:pt>
                <c:pt idx="44">
                  <c:v>42.75</c:v>
                </c:pt>
                <c:pt idx="45">
                  <c:v>46.5</c:v>
                </c:pt>
                <c:pt idx="46">
                  <c:v>50</c:v>
                </c:pt>
                <c:pt idx="47">
                  <c:v>48.4</c:v>
                </c:pt>
                <c:pt idx="48">
                  <c:v>47.6</c:v>
                </c:pt>
                <c:pt idx="49">
                  <c:v>47.2</c:v>
                </c:pt>
                <c:pt idx="50">
                  <c:v>61.6</c:v>
                </c:pt>
                <c:pt idx="51">
                  <c:v>58.4</c:v>
                </c:pt>
                <c:pt idx="52">
                  <c:v>56.4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2-419D-83C1-1B0375CCF3AB}"/>
            </c:ext>
          </c:extLst>
        </c:ser>
        <c:ser>
          <c:idx val="2"/>
          <c:order val="6"/>
          <c:tx>
            <c:strRef>
              <c:f>Chart!$S$4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Chart!$L$5:$L$57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Chart!$S$5:$S$57</c:f>
              <c:numCache>
                <c:formatCode>#,##0.00_);\(#,##0.00\)</c:formatCode>
                <c:ptCount val="53"/>
                <c:pt idx="1">
                  <c:v>14.100000000000001</c:v>
                </c:pt>
                <c:pt idx="2">
                  <c:v>13.200000000000001</c:v>
                </c:pt>
                <c:pt idx="3">
                  <c:v>15.899999999999999</c:v>
                </c:pt>
                <c:pt idx="4">
                  <c:v>15.600000000000001</c:v>
                </c:pt>
                <c:pt idx="5">
                  <c:v>12.299999999999999</c:v>
                </c:pt>
                <c:pt idx="6">
                  <c:v>12.600000000000001</c:v>
                </c:pt>
                <c:pt idx="7">
                  <c:v>12.900000000000002</c:v>
                </c:pt>
                <c:pt idx="8">
                  <c:v>12.299999999999999</c:v>
                </c:pt>
                <c:pt idx="9">
                  <c:v>12</c:v>
                </c:pt>
                <c:pt idx="10">
                  <c:v>9.3000000000000007</c:v>
                </c:pt>
                <c:pt idx="11">
                  <c:v>9</c:v>
                </c:pt>
                <c:pt idx="12">
                  <c:v>9.3000000000000007</c:v>
                </c:pt>
                <c:pt idx="13">
                  <c:v>9.2999999999999989</c:v>
                </c:pt>
                <c:pt idx="14">
                  <c:v>9.6000000000000014</c:v>
                </c:pt>
                <c:pt idx="15">
                  <c:v>9.6000000000000014</c:v>
                </c:pt>
                <c:pt idx="16">
                  <c:v>12</c:v>
                </c:pt>
                <c:pt idx="17">
                  <c:v>12.299999999999999</c:v>
                </c:pt>
                <c:pt idx="18">
                  <c:v>15.599999999999998</c:v>
                </c:pt>
                <c:pt idx="19">
                  <c:v>15.900000000000002</c:v>
                </c:pt>
                <c:pt idx="20">
                  <c:v>15.9</c:v>
                </c:pt>
                <c:pt idx="21">
                  <c:v>16.799999999999997</c:v>
                </c:pt>
                <c:pt idx="22">
                  <c:v>17.100000000000001</c:v>
                </c:pt>
                <c:pt idx="23">
                  <c:v>19.200000000000003</c:v>
                </c:pt>
                <c:pt idx="24">
                  <c:v>21.900000000000002</c:v>
                </c:pt>
                <c:pt idx="25">
                  <c:v>22.799999999999997</c:v>
                </c:pt>
                <c:pt idx="26">
                  <c:v>22.799999999999997</c:v>
                </c:pt>
                <c:pt idx="27">
                  <c:v>23.099999999999998</c:v>
                </c:pt>
                <c:pt idx="28">
                  <c:v>24.599999999999998</c:v>
                </c:pt>
                <c:pt idx="29">
                  <c:v>24.599999999999998</c:v>
                </c:pt>
                <c:pt idx="30">
                  <c:v>25.8</c:v>
                </c:pt>
                <c:pt idx="31">
                  <c:v>24.3</c:v>
                </c:pt>
                <c:pt idx="32">
                  <c:v>24.6</c:v>
                </c:pt>
                <c:pt idx="33">
                  <c:v>25.8</c:v>
                </c:pt>
                <c:pt idx="34">
                  <c:v>27</c:v>
                </c:pt>
                <c:pt idx="35">
                  <c:v>26.7</c:v>
                </c:pt>
                <c:pt idx="36">
                  <c:v>27</c:v>
                </c:pt>
                <c:pt idx="37">
                  <c:v>26.7</c:v>
                </c:pt>
                <c:pt idx="38">
                  <c:v>27.9</c:v>
                </c:pt>
                <c:pt idx="39">
                  <c:v>31.2</c:v>
                </c:pt>
                <c:pt idx="40">
                  <c:v>29.7</c:v>
                </c:pt>
                <c:pt idx="41">
                  <c:v>30.6</c:v>
                </c:pt>
                <c:pt idx="42">
                  <c:v>32.9</c:v>
                </c:pt>
                <c:pt idx="43">
                  <c:v>33.6</c:v>
                </c:pt>
                <c:pt idx="44">
                  <c:v>31.15</c:v>
                </c:pt>
                <c:pt idx="45">
                  <c:v>30.45</c:v>
                </c:pt>
                <c:pt idx="46">
                  <c:v>29.75</c:v>
                </c:pt>
                <c:pt idx="47">
                  <c:v>29.05</c:v>
                </c:pt>
                <c:pt idx="48">
                  <c:v>28</c:v>
                </c:pt>
                <c:pt idx="49">
                  <c:v>26.95</c:v>
                </c:pt>
                <c:pt idx="50">
                  <c:v>25.2</c:v>
                </c:pt>
                <c:pt idx="51">
                  <c:v>36.729999999999997</c:v>
                </c:pt>
                <c:pt idx="52">
                  <c:v>35.43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BA-4607-B2B5-1EFAB28B2B64}"/>
            </c:ext>
          </c:extLst>
        </c:ser>
        <c:ser>
          <c:idx val="3"/>
          <c:order val="7"/>
          <c:tx>
            <c:strRef>
              <c:f>Chart!$T$4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Chart!$L$5:$L$57</c:f>
              <c:numCache>
                <c:formatCode>0_);\(0\)</c:formatCode>
                <c:ptCount val="53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Chart!$T$5:$T$57</c:f>
              <c:numCache>
                <c:formatCode>#,##0.00_);\(#,##0.00\)</c:formatCode>
                <c:ptCount val="53"/>
                <c:pt idx="1">
                  <c:v>8.4</c:v>
                </c:pt>
                <c:pt idx="2">
                  <c:v>8.3999999999999986</c:v>
                </c:pt>
                <c:pt idx="3">
                  <c:v>8.4</c:v>
                </c:pt>
                <c:pt idx="4">
                  <c:v>7.5</c:v>
                </c:pt>
                <c:pt idx="5">
                  <c:v>4.8000000000000007</c:v>
                </c:pt>
                <c:pt idx="6">
                  <c:v>3.3000000000000003</c:v>
                </c:pt>
                <c:pt idx="7">
                  <c:v>2.6999999999999997</c:v>
                </c:pt>
                <c:pt idx="8">
                  <c:v>3.3000000000000003</c:v>
                </c:pt>
                <c:pt idx="9">
                  <c:v>3.8999999999999995</c:v>
                </c:pt>
                <c:pt idx="10">
                  <c:v>4.1999999999999993</c:v>
                </c:pt>
                <c:pt idx="11">
                  <c:v>2.0999999999999996</c:v>
                </c:pt>
                <c:pt idx="12">
                  <c:v>3.5999999999999996</c:v>
                </c:pt>
                <c:pt idx="13">
                  <c:v>4.1999999999999993</c:v>
                </c:pt>
                <c:pt idx="14">
                  <c:v>5.6999999999999993</c:v>
                </c:pt>
                <c:pt idx="15">
                  <c:v>7.5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9.3000000000000007</c:v>
                </c:pt>
                <c:pt idx="20">
                  <c:v>8.1000000000000014</c:v>
                </c:pt>
                <c:pt idx="21">
                  <c:v>8.3999999999999986</c:v>
                </c:pt>
                <c:pt idx="22">
                  <c:v>9</c:v>
                </c:pt>
                <c:pt idx="23">
                  <c:v>9.6000000000000014</c:v>
                </c:pt>
                <c:pt idx="24">
                  <c:v>9.8999999999999986</c:v>
                </c:pt>
                <c:pt idx="25">
                  <c:v>9.2999999999999989</c:v>
                </c:pt>
                <c:pt idx="26">
                  <c:v>9.2999999999999989</c:v>
                </c:pt>
                <c:pt idx="27">
                  <c:v>13.250000000000002</c:v>
                </c:pt>
                <c:pt idx="28">
                  <c:v>13</c:v>
                </c:pt>
                <c:pt idx="29">
                  <c:v>12.5</c:v>
                </c:pt>
                <c:pt idx="30">
                  <c:v>14.5</c:v>
                </c:pt>
                <c:pt idx="31">
                  <c:v>16.75</c:v>
                </c:pt>
                <c:pt idx="32">
                  <c:v>17.25</c:v>
                </c:pt>
                <c:pt idx="33">
                  <c:v>17.25</c:v>
                </c:pt>
                <c:pt idx="34">
                  <c:v>19.75</c:v>
                </c:pt>
                <c:pt idx="35">
                  <c:v>20.75</c:v>
                </c:pt>
                <c:pt idx="36">
                  <c:v>19.25</c:v>
                </c:pt>
                <c:pt idx="37">
                  <c:v>19</c:v>
                </c:pt>
                <c:pt idx="38">
                  <c:v>19</c:v>
                </c:pt>
                <c:pt idx="39">
                  <c:v>17.5</c:v>
                </c:pt>
                <c:pt idx="40">
                  <c:v>16.75</c:v>
                </c:pt>
                <c:pt idx="41">
                  <c:v>16.75</c:v>
                </c:pt>
                <c:pt idx="42">
                  <c:v>16.5</c:v>
                </c:pt>
                <c:pt idx="43">
                  <c:v>19.2</c:v>
                </c:pt>
                <c:pt idx="44">
                  <c:v>19.2</c:v>
                </c:pt>
                <c:pt idx="45">
                  <c:v>21</c:v>
                </c:pt>
                <c:pt idx="46">
                  <c:v>20.100000000000001</c:v>
                </c:pt>
                <c:pt idx="47">
                  <c:v>19.5</c:v>
                </c:pt>
                <c:pt idx="48">
                  <c:v>19.5</c:v>
                </c:pt>
                <c:pt idx="49">
                  <c:v>20.399999999999999</c:v>
                </c:pt>
                <c:pt idx="50">
                  <c:v>18.899999999999999</c:v>
                </c:pt>
                <c:pt idx="51">
                  <c:v>17.7</c:v>
                </c:pt>
                <c:pt idx="52">
                  <c:v>16.8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56-4AD8-B58A-2838C0B5F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017448"/>
        <c:axId val="550016136"/>
      </c:lineChart>
      <c:catAx>
        <c:axId val="55001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16136"/>
        <c:crosses val="autoZero"/>
        <c:auto val="1"/>
        <c:lblAlgn val="ctr"/>
        <c:lblOffset val="100"/>
        <c:noMultiLvlLbl val="0"/>
      </c:catAx>
      <c:valAx>
        <c:axId val="55001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017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>
      <c:oddHeader>&amp;L&amp;T  &amp;D&amp;C&amp;"-,Bold"&amp;14Confidential&amp;R&amp;A  &amp;F</c:oddHeader>
    </c:headerFooter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600074</xdr:colOff>
      <xdr:row>4</xdr:row>
      <xdr:rowOff>183355</xdr:rowOff>
    </xdr:from>
    <xdr:to>
      <xdr:col>39</xdr:col>
      <xdr:colOff>288130</xdr:colOff>
      <xdr:row>50</xdr:row>
      <xdr:rowOff>45244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6E6EF3-BBB3-445C-ACFA-E755E910FA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9525</xdr:colOff>
      <xdr:row>4</xdr:row>
      <xdr:rowOff>173830</xdr:rowOff>
    </xdr:from>
    <xdr:to>
      <xdr:col>58</xdr:col>
      <xdr:colOff>352425</xdr:colOff>
      <xdr:row>50</xdr:row>
      <xdr:rowOff>45243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E2E89A-FEED-4B90-9BB6-13C1109EC3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5BB9E-6C25-4BC7-9268-3705CE2F1F78}">
  <dimension ref="A2:BC156"/>
  <sheetViews>
    <sheetView zoomScale="80" zoomScaleNormal="80" workbookViewId="0">
      <selection activeCell="L18" sqref="L18"/>
    </sheetView>
  </sheetViews>
  <sheetFormatPr defaultRowHeight="15" x14ac:dyDescent="0.25"/>
  <cols>
    <col min="1" max="1" width="1.85546875" customWidth="1"/>
    <col min="2" max="2" width="12.28515625" customWidth="1"/>
    <col min="4" max="5" width="10.5703125" bestFit="1" customWidth="1"/>
    <col min="6" max="6" width="10.85546875" customWidth="1"/>
    <col min="7" max="7" width="10.5703125" bestFit="1" customWidth="1"/>
    <col min="9" max="9" width="10.42578125" customWidth="1"/>
    <col min="10" max="10" width="11.140625" customWidth="1"/>
    <col min="11" max="11" width="10.5703125" bestFit="1" customWidth="1"/>
    <col min="13" max="13" width="10.42578125" customWidth="1"/>
    <col min="14" max="14" width="10.5703125" customWidth="1"/>
    <col min="15" max="15" width="10.42578125" customWidth="1"/>
    <col min="17" max="17" width="10.7109375" customWidth="1"/>
    <col min="18" max="19" width="10.42578125" customWidth="1"/>
    <col min="21" max="21" width="10.7109375" customWidth="1"/>
    <col min="22" max="22" width="10.42578125" customWidth="1"/>
    <col min="23" max="24" width="10.28515625" customWidth="1"/>
    <col min="26" max="26" width="10.5703125" customWidth="1"/>
    <col min="27" max="27" width="10.28515625" customWidth="1"/>
    <col min="28" max="28" width="10.7109375" customWidth="1"/>
    <col min="30" max="30" width="10.42578125" customWidth="1"/>
    <col min="31" max="31" width="10.28515625" customWidth="1"/>
    <col min="32" max="32" width="10.42578125" customWidth="1"/>
    <col min="35" max="39" width="11.42578125" customWidth="1"/>
    <col min="40" max="45" width="11.42578125" style="10" customWidth="1"/>
    <col min="46" max="54" width="11.42578125" customWidth="1"/>
  </cols>
  <sheetData>
    <row r="2" spans="1:54" x14ac:dyDescent="0.25">
      <c r="B2" s="16">
        <v>2026</v>
      </c>
      <c r="C2" s="17">
        <v>46025</v>
      </c>
      <c r="D2" s="17">
        <v>46032</v>
      </c>
      <c r="E2" s="17">
        <v>46039</v>
      </c>
      <c r="F2" s="17">
        <v>46046</v>
      </c>
      <c r="G2" s="17">
        <v>46053</v>
      </c>
      <c r="H2" s="17">
        <v>46060</v>
      </c>
      <c r="I2" s="17">
        <v>46067</v>
      </c>
      <c r="J2" s="17">
        <v>46074</v>
      </c>
      <c r="K2" s="17">
        <v>46081</v>
      </c>
      <c r="L2" s="17">
        <v>46088</v>
      </c>
      <c r="M2" s="17">
        <v>46095</v>
      </c>
      <c r="N2" s="17">
        <v>46102</v>
      </c>
      <c r="O2" s="17">
        <v>46109</v>
      </c>
      <c r="P2" s="17">
        <v>46116</v>
      </c>
      <c r="Q2" s="17">
        <v>46123</v>
      </c>
      <c r="R2" s="17">
        <v>46130</v>
      </c>
      <c r="S2" s="17">
        <v>46137</v>
      </c>
      <c r="T2" s="17">
        <v>46144</v>
      </c>
      <c r="U2" s="17">
        <v>46171</v>
      </c>
      <c r="V2" s="17">
        <v>46158</v>
      </c>
      <c r="W2" s="17">
        <v>46165</v>
      </c>
      <c r="X2" s="17">
        <v>46172</v>
      </c>
      <c r="Y2" s="17">
        <v>46179</v>
      </c>
      <c r="Z2" s="17">
        <v>46186</v>
      </c>
      <c r="AA2" s="17">
        <v>46193</v>
      </c>
      <c r="AB2" s="17">
        <v>46200</v>
      </c>
      <c r="AC2" s="17">
        <v>46207</v>
      </c>
      <c r="AD2" s="17">
        <v>46214</v>
      </c>
      <c r="AE2" s="17">
        <v>46221</v>
      </c>
      <c r="AF2" s="17">
        <v>46228</v>
      </c>
      <c r="AG2" s="17">
        <v>46235</v>
      </c>
      <c r="AH2" s="17">
        <v>46242</v>
      </c>
      <c r="AI2" s="17">
        <v>46249</v>
      </c>
      <c r="AJ2" s="17">
        <v>46256</v>
      </c>
      <c r="AK2" s="17">
        <v>46263</v>
      </c>
      <c r="AL2" s="17">
        <v>46270</v>
      </c>
      <c r="AM2" s="17">
        <v>46277</v>
      </c>
      <c r="AN2" s="17">
        <v>46284</v>
      </c>
      <c r="AO2" s="17">
        <v>46291</v>
      </c>
      <c r="AP2" s="17">
        <v>46298</v>
      </c>
      <c r="AQ2" s="17">
        <v>46305</v>
      </c>
      <c r="AR2" s="17">
        <v>46312</v>
      </c>
      <c r="AS2" s="17">
        <v>46319</v>
      </c>
      <c r="AT2" s="17">
        <v>46326</v>
      </c>
      <c r="AU2" s="17">
        <v>46333</v>
      </c>
      <c r="AV2" s="17">
        <v>46340</v>
      </c>
      <c r="AW2" s="17">
        <v>46347</v>
      </c>
      <c r="AX2" s="17">
        <v>46354</v>
      </c>
      <c r="AY2" s="17">
        <v>46361</v>
      </c>
      <c r="AZ2" s="17">
        <v>46368</v>
      </c>
      <c r="BA2" s="17">
        <v>46375</v>
      </c>
      <c r="BB2" s="17">
        <v>46382</v>
      </c>
    </row>
    <row r="4" spans="1:54" x14ac:dyDescent="0.25">
      <c r="A4" t="s">
        <v>0</v>
      </c>
    </row>
    <row r="5" spans="1:54" x14ac:dyDescent="0.25">
      <c r="B5" t="s">
        <v>3</v>
      </c>
      <c r="C5">
        <v>5.8</v>
      </c>
      <c r="D5">
        <v>5.3</v>
      </c>
      <c r="E5">
        <v>5.2</v>
      </c>
      <c r="F5">
        <v>4.8</v>
      </c>
      <c r="G5">
        <v>3.9</v>
      </c>
      <c r="H5">
        <v>4.3</v>
      </c>
      <c r="I5">
        <v>3.5</v>
      </c>
      <c r="J5">
        <v>3.3</v>
      </c>
      <c r="K5">
        <v>2.6</v>
      </c>
      <c r="L5">
        <v>2.8</v>
      </c>
    </row>
    <row r="6" spans="1:54" x14ac:dyDescent="0.25">
      <c r="B6" t="s">
        <v>11</v>
      </c>
      <c r="C6">
        <v>1.8</v>
      </c>
      <c r="D6">
        <v>1.8</v>
      </c>
      <c r="E6">
        <v>0.9</v>
      </c>
      <c r="F6">
        <v>0.3</v>
      </c>
      <c r="G6">
        <v>0.7</v>
      </c>
      <c r="H6">
        <v>0.2</v>
      </c>
      <c r="I6">
        <v>0.4</v>
      </c>
      <c r="J6">
        <v>0.2</v>
      </c>
      <c r="K6">
        <v>0.1</v>
      </c>
      <c r="L6">
        <v>0</v>
      </c>
    </row>
    <row r="7" spans="1:54" x14ac:dyDescent="0.25">
      <c r="B7" t="s">
        <v>5</v>
      </c>
      <c r="C7">
        <v>7.6</v>
      </c>
      <c r="D7">
        <v>7.1</v>
      </c>
      <c r="E7">
        <v>6.1</v>
      </c>
      <c r="F7">
        <v>5.0999999999999996</v>
      </c>
      <c r="G7">
        <v>4.5999999999999996</v>
      </c>
      <c r="H7">
        <v>4.5</v>
      </c>
      <c r="I7">
        <v>3.9</v>
      </c>
      <c r="J7">
        <v>3.5</v>
      </c>
      <c r="K7">
        <v>2.7</v>
      </c>
      <c r="L7">
        <v>2.8</v>
      </c>
    </row>
    <row r="9" spans="1:54" x14ac:dyDescent="0.25">
      <c r="B9" t="s">
        <v>2</v>
      </c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</row>
    <row r="10" spans="1:54" x14ac:dyDescent="0.25">
      <c r="C10">
        <f t="shared" ref="C10:H10" si="0">C7*C9</f>
        <v>15.2</v>
      </c>
      <c r="D10">
        <f t="shared" si="0"/>
        <v>14.2</v>
      </c>
      <c r="E10">
        <f t="shared" si="0"/>
        <v>12.2</v>
      </c>
      <c r="F10">
        <f t="shared" si="0"/>
        <v>10.199999999999999</v>
      </c>
      <c r="G10">
        <f t="shared" si="0"/>
        <v>9.1999999999999993</v>
      </c>
      <c r="H10">
        <f t="shared" si="0"/>
        <v>9</v>
      </c>
      <c r="I10">
        <f>I7*I9</f>
        <v>7.8</v>
      </c>
      <c r="J10">
        <f>J7*J9</f>
        <v>7</v>
      </c>
      <c r="K10">
        <f>K7*K9</f>
        <v>5.4</v>
      </c>
      <c r="L10">
        <f>L7*L9</f>
        <v>5.6</v>
      </c>
      <c r="AU10" s="17"/>
    </row>
    <row r="12" spans="1:54" x14ac:dyDescent="0.25">
      <c r="A12" t="s">
        <v>1</v>
      </c>
    </row>
    <row r="13" spans="1:54" x14ac:dyDescent="0.25">
      <c r="B13" t="s">
        <v>3</v>
      </c>
      <c r="C13">
        <v>2.8</v>
      </c>
      <c r="D13">
        <v>3</v>
      </c>
      <c r="E13">
        <v>3.3</v>
      </c>
      <c r="F13">
        <v>3.7</v>
      </c>
      <c r="G13">
        <v>2.7</v>
      </c>
      <c r="H13">
        <v>3.2</v>
      </c>
      <c r="I13">
        <v>2.5</v>
      </c>
      <c r="J13">
        <v>2.2999999999999998</v>
      </c>
      <c r="K13">
        <v>1.6</v>
      </c>
      <c r="L13">
        <v>1.9</v>
      </c>
    </row>
    <row r="14" spans="1:54" x14ac:dyDescent="0.25">
      <c r="B14" t="s">
        <v>11</v>
      </c>
      <c r="C14">
        <v>4</v>
      </c>
      <c r="D14">
        <v>3.5</v>
      </c>
      <c r="E14">
        <v>2.7</v>
      </c>
      <c r="F14">
        <v>1.5</v>
      </c>
      <c r="G14">
        <v>1.8</v>
      </c>
      <c r="H14">
        <v>1.2</v>
      </c>
      <c r="I14">
        <v>1.2</v>
      </c>
      <c r="J14">
        <v>0.9</v>
      </c>
      <c r="K14">
        <v>1.3</v>
      </c>
      <c r="L14">
        <v>0.8</v>
      </c>
    </row>
    <row r="15" spans="1:54" x14ac:dyDescent="0.25">
      <c r="B15" t="s">
        <v>5</v>
      </c>
      <c r="C15">
        <v>6.8</v>
      </c>
      <c r="D15">
        <v>6.5</v>
      </c>
      <c r="E15">
        <v>6</v>
      </c>
      <c r="F15">
        <v>5.2</v>
      </c>
      <c r="G15">
        <v>4.5</v>
      </c>
      <c r="H15">
        <v>4.4000000000000004</v>
      </c>
      <c r="I15">
        <v>3.7</v>
      </c>
      <c r="J15">
        <v>3.2</v>
      </c>
      <c r="K15">
        <v>2.9</v>
      </c>
      <c r="L15">
        <f>SUM(L13:L14)</f>
        <v>2.7</v>
      </c>
    </row>
    <row r="17" spans="1:54" x14ac:dyDescent="0.25">
      <c r="B17" t="s">
        <v>2</v>
      </c>
      <c r="C17">
        <v>5</v>
      </c>
      <c r="D17">
        <v>5</v>
      </c>
      <c r="E17">
        <v>5</v>
      </c>
      <c r="F17">
        <v>5</v>
      </c>
      <c r="G17">
        <v>5</v>
      </c>
      <c r="H17">
        <v>5</v>
      </c>
      <c r="I17">
        <v>5</v>
      </c>
      <c r="J17">
        <v>5</v>
      </c>
      <c r="K17">
        <v>5</v>
      </c>
      <c r="L17">
        <v>5</v>
      </c>
    </row>
    <row r="18" spans="1:54" x14ac:dyDescent="0.25">
      <c r="C18">
        <f t="shared" ref="C18:H18" si="1">C15*C17</f>
        <v>34</v>
      </c>
      <c r="D18">
        <f t="shared" si="1"/>
        <v>32.5</v>
      </c>
      <c r="E18">
        <f t="shared" si="1"/>
        <v>30</v>
      </c>
      <c r="F18">
        <f t="shared" si="1"/>
        <v>26</v>
      </c>
      <c r="G18">
        <f t="shared" si="1"/>
        <v>22.5</v>
      </c>
      <c r="H18">
        <f t="shared" si="1"/>
        <v>22</v>
      </c>
      <c r="I18">
        <f>I15*I17</f>
        <v>18.5</v>
      </c>
      <c r="J18">
        <f>J15*J17</f>
        <v>16</v>
      </c>
      <c r="K18">
        <f>K15*K17</f>
        <v>14.5</v>
      </c>
      <c r="L18">
        <f>L17*L15</f>
        <v>13.5</v>
      </c>
    </row>
    <row r="22" spans="1:54" x14ac:dyDescent="0.25">
      <c r="B22" s="16">
        <v>2025</v>
      </c>
      <c r="C22" s="17">
        <v>45661</v>
      </c>
      <c r="D22" s="17">
        <v>45668</v>
      </c>
      <c r="E22" s="17">
        <v>45675</v>
      </c>
      <c r="F22" s="17">
        <v>45682</v>
      </c>
      <c r="G22" s="17">
        <v>45689</v>
      </c>
      <c r="H22" s="17">
        <v>45696</v>
      </c>
      <c r="I22" s="17">
        <v>45703</v>
      </c>
      <c r="J22" s="17">
        <v>45710</v>
      </c>
      <c r="K22" s="17">
        <v>45717</v>
      </c>
      <c r="L22" s="17">
        <v>45724</v>
      </c>
      <c r="M22" s="17">
        <v>45731</v>
      </c>
      <c r="N22" s="17">
        <v>45738</v>
      </c>
      <c r="O22" s="17">
        <v>45745</v>
      </c>
      <c r="P22" s="17">
        <v>45752</v>
      </c>
      <c r="Q22" s="17">
        <v>45759</v>
      </c>
      <c r="R22" s="17">
        <v>45766</v>
      </c>
      <c r="S22" s="17">
        <v>45773</v>
      </c>
      <c r="T22" s="17">
        <v>45780</v>
      </c>
      <c r="U22" s="17">
        <v>45787</v>
      </c>
      <c r="V22" s="17">
        <v>45794</v>
      </c>
      <c r="W22" s="17">
        <v>45801</v>
      </c>
      <c r="X22" s="17">
        <v>45808</v>
      </c>
      <c r="Y22" s="17">
        <v>45815</v>
      </c>
      <c r="Z22" s="17">
        <v>45822</v>
      </c>
      <c r="AA22" s="17">
        <v>45829</v>
      </c>
      <c r="AB22" s="17">
        <v>45836</v>
      </c>
      <c r="AC22" s="17">
        <v>45843</v>
      </c>
      <c r="AD22" s="17">
        <v>45850</v>
      </c>
      <c r="AE22" s="17">
        <v>45857</v>
      </c>
      <c r="AF22" s="17">
        <v>45864</v>
      </c>
      <c r="AG22" s="17">
        <v>45871</v>
      </c>
      <c r="AH22" s="17">
        <v>45878</v>
      </c>
      <c r="AI22" s="17">
        <v>45885</v>
      </c>
      <c r="AJ22" s="17">
        <v>45892</v>
      </c>
      <c r="AK22" s="17">
        <v>45899</v>
      </c>
      <c r="AL22" s="17">
        <v>45906</v>
      </c>
      <c r="AM22" s="17">
        <v>45913</v>
      </c>
      <c r="AN22" s="17">
        <v>45920</v>
      </c>
      <c r="AO22" s="17">
        <v>45927</v>
      </c>
      <c r="AP22" s="17">
        <v>45934</v>
      </c>
      <c r="AQ22" s="17">
        <v>45941</v>
      </c>
      <c r="AR22" s="17">
        <v>45948</v>
      </c>
      <c r="AS22" s="17">
        <v>45955</v>
      </c>
      <c r="AT22" s="17">
        <v>45962</v>
      </c>
      <c r="AU22" s="17">
        <v>45969</v>
      </c>
      <c r="AV22" s="17">
        <v>45976</v>
      </c>
      <c r="AW22" s="17">
        <v>45983</v>
      </c>
      <c r="AX22" s="17">
        <v>45990</v>
      </c>
      <c r="AY22" s="17">
        <v>45997</v>
      </c>
      <c r="AZ22" s="17">
        <v>46004</v>
      </c>
      <c r="BA22" s="17">
        <v>46011</v>
      </c>
      <c r="BB22" s="17">
        <v>46018</v>
      </c>
    </row>
    <row r="24" spans="1:54" x14ac:dyDescent="0.25">
      <c r="A24" t="s">
        <v>0</v>
      </c>
      <c r="D24" s="17"/>
      <c r="E24" s="17"/>
      <c r="F24" s="17"/>
    </row>
    <row r="25" spans="1:54" x14ac:dyDescent="0.25">
      <c r="B25" t="s">
        <v>3</v>
      </c>
      <c r="C25">
        <v>6.2</v>
      </c>
      <c r="D25">
        <v>6.1</v>
      </c>
      <c r="E25">
        <v>6.1</v>
      </c>
      <c r="F25">
        <v>5.8</v>
      </c>
      <c r="G25">
        <v>6.3</v>
      </c>
      <c r="H25">
        <v>6.3</v>
      </c>
      <c r="I25">
        <v>5.6</v>
      </c>
      <c r="J25">
        <v>5</v>
      </c>
      <c r="K25">
        <v>4.9000000000000004</v>
      </c>
      <c r="L25">
        <v>4.7</v>
      </c>
      <c r="M25">
        <v>4.0999999999999996</v>
      </c>
      <c r="N25">
        <v>3.7</v>
      </c>
      <c r="O25">
        <v>3.3</v>
      </c>
      <c r="P25">
        <v>1.8</v>
      </c>
      <c r="Q25">
        <v>1.7</v>
      </c>
      <c r="R25">
        <v>2</v>
      </c>
      <c r="S25">
        <v>2.1</v>
      </c>
      <c r="T25">
        <v>3.2</v>
      </c>
      <c r="U25">
        <v>3.2</v>
      </c>
      <c r="V25">
        <v>3.4</v>
      </c>
      <c r="W25">
        <v>3.5</v>
      </c>
      <c r="X25">
        <v>3.8</v>
      </c>
      <c r="Y25">
        <v>3.4</v>
      </c>
      <c r="Z25">
        <v>3.8</v>
      </c>
      <c r="AA25">
        <v>3.1</v>
      </c>
      <c r="AB25">
        <v>3.5</v>
      </c>
      <c r="AC25">
        <v>3.9</v>
      </c>
      <c r="AD25">
        <v>3.8</v>
      </c>
      <c r="AE25">
        <v>3.6</v>
      </c>
      <c r="AF25">
        <v>7.2</v>
      </c>
      <c r="AG25">
        <v>6.7</v>
      </c>
      <c r="AH25">
        <v>6.5</v>
      </c>
      <c r="AI25">
        <v>6.8</v>
      </c>
      <c r="AJ25">
        <v>6.7</v>
      </c>
      <c r="AK25">
        <v>6.8</v>
      </c>
      <c r="AL25">
        <v>6.8</v>
      </c>
      <c r="AM25">
        <v>6.8</v>
      </c>
      <c r="AN25">
        <v>7.8</v>
      </c>
      <c r="AO25">
        <v>7.6</v>
      </c>
      <c r="AP25">
        <v>7.7</v>
      </c>
      <c r="AQ25">
        <v>7.5</v>
      </c>
      <c r="AR25">
        <v>7.2</v>
      </c>
      <c r="AS25">
        <v>7.3</v>
      </c>
      <c r="AT25">
        <v>8.1</v>
      </c>
      <c r="AU25">
        <v>8.1999999999999993</v>
      </c>
      <c r="AV25">
        <v>7.7</v>
      </c>
      <c r="AW25">
        <v>7.7</v>
      </c>
      <c r="AX25">
        <v>7.1</v>
      </c>
      <c r="AY25">
        <v>7</v>
      </c>
      <c r="BA25">
        <v>6</v>
      </c>
      <c r="BB25">
        <v>6.1</v>
      </c>
    </row>
    <row r="26" spans="1:54" x14ac:dyDescent="0.25">
      <c r="B26" t="s">
        <v>11</v>
      </c>
      <c r="C26">
        <v>2.2000000000000002</v>
      </c>
      <c r="D26">
        <v>2.2999999999999998</v>
      </c>
      <c r="E26">
        <v>2.2999999999999998</v>
      </c>
      <c r="F26">
        <v>2.5</v>
      </c>
      <c r="G26">
        <v>1.4</v>
      </c>
      <c r="H26">
        <v>1.2</v>
      </c>
      <c r="I26">
        <v>0.9</v>
      </c>
      <c r="J26">
        <v>1.4</v>
      </c>
      <c r="K26">
        <v>0.7</v>
      </c>
      <c r="L26">
        <v>0.7</v>
      </c>
      <c r="M26">
        <v>0.8</v>
      </c>
      <c r="N26">
        <v>1.5</v>
      </c>
      <c r="O26">
        <v>2.7</v>
      </c>
      <c r="P26">
        <v>4.0999999999999996</v>
      </c>
      <c r="Q26">
        <v>4.3</v>
      </c>
      <c r="R26">
        <v>4.0999999999999996</v>
      </c>
      <c r="S26">
        <v>4</v>
      </c>
      <c r="T26">
        <v>1.5</v>
      </c>
      <c r="U26">
        <v>2</v>
      </c>
      <c r="V26">
        <v>1.6</v>
      </c>
      <c r="W26">
        <v>1.4</v>
      </c>
      <c r="X26">
        <v>1.2</v>
      </c>
      <c r="Y26">
        <v>2.2999999999999998</v>
      </c>
      <c r="Z26">
        <v>1.9</v>
      </c>
      <c r="AA26">
        <v>2.2999999999999998</v>
      </c>
      <c r="AB26">
        <v>2.1</v>
      </c>
      <c r="AC26">
        <v>1.7</v>
      </c>
      <c r="AD26">
        <v>2.1</v>
      </c>
      <c r="AE26">
        <v>2.5</v>
      </c>
      <c r="AF26">
        <v>2.1</v>
      </c>
      <c r="AG26">
        <v>2.4</v>
      </c>
      <c r="AH26">
        <v>2.6</v>
      </c>
      <c r="AI26">
        <v>2.6</v>
      </c>
      <c r="AJ26">
        <v>2.6</v>
      </c>
      <c r="AK26">
        <v>2.6</v>
      </c>
      <c r="AL26">
        <v>2.6</v>
      </c>
      <c r="AM26">
        <v>2.8</v>
      </c>
      <c r="AN26">
        <v>2.5</v>
      </c>
      <c r="AO26">
        <v>2.5</v>
      </c>
      <c r="AP26">
        <v>3.1</v>
      </c>
      <c r="AQ26">
        <v>3.3</v>
      </c>
      <c r="AR26">
        <v>4</v>
      </c>
      <c r="AS26">
        <v>4</v>
      </c>
      <c r="AT26">
        <v>3.6</v>
      </c>
      <c r="AU26">
        <v>3.1</v>
      </c>
      <c r="AV26">
        <v>3.5</v>
      </c>
      <c r="AW26">
        <v>2.9</v>
      </c>
      <c r="AX26">
        <v>2.8</v>
      </c>
      <c r="AY26">
        <v>2.4</v>
      </c>
      <c r="BA26">
        <v>1.8</v>
      </c>
      <c r="BB26">
        <v>1.7</v>
      </c>
    </row>
    <row r="27" spans="1:54" x14ac:dyDescent="0.25">
      <c r="B27" t="s">
        <v>5</v>
      </c>
      <c r="C27">
        <v>8.4</v>
      </c>
      <c r="D27">
        <f>SUM(D25+D26)</f>
        <v>8.3999999999999986</v>
      </c>
      <c r="E27">
        <v>8.5</v>
      </c>
      <c r="F27">
        <v>8.3000000000000007</v>
      </c>
      <c r="G27">
        <v>7.7</v>
      </c>
      <c r="H27">
        <v>7.4</v>
      </c>
      <c r="I27">
        <v>6.5</v>
      </c>
      <c r="J27">
        <v>6.4</v>
      </c>
      <c r="K27">
        <v>5.6</v>
      </c>
      <c r="L27">
        <v>5.4</v>
      </c>
      <c r="M27">
        <v>4.9000000000000004</v>
      </c>
      <c r="N27">
        <v>5.2</v>
      </c>
      <c r="O27">
        <v>6</v>
      </c>
      <c r="P27">
        <v>5.9</v>
      </c>
      <c r="Q27">
        <v>6</v>
      </c>
      <c r="R27">
        <v>6.1</v>
      </c>
      <c r="S27">
        <v>6.1</v>
      </c>
      <c r="T27">
        <v>5.3</v>
      </c>
      <c r="U27">
        <v>5.2</v>
      </c>
      <c r="V27">
        <v>5</v>
      </c>
      <c r="W27">
        <v>5.5</v>
      </c>
      <c r="X27">
        <v>5</v>
      </c>
      <c r="Y27">
        <v>5.7</v>
      </c>
      <c r="Z27">
        <v>5.7</v>
      </c>
      <c r="AA27">
        <v>5.4</v>
      </c>
      <c r="AB27">
        <v>5.6</v>
      </c>
      <c r="AC27">
        <v>5.6</v>
      </c>
      <c r="AD27">
        <v>5.9</v>
      </c>
      <c r="AE27">
        <v>6.1</v>
      </c>
      <c r="AF27">
        <v>9.3000000000000007</v>
      </c>
      <c r="AG27">
        <v>9.1</v>
      </c>
      <c r="AH27">
        <v>9.1</v>
      </c>
      <c r="AI27">
        <v>9.4</v>
      </c>
      <c r="AJ27">
        <v>9.3000000000000007</v>
      </c>
      <c r="AK27">
        <v>9.4</v>
      </c>
      <c r="AL27">
        <v>9.4</v>
      </c>
      <c r="AM27">
        <v>9.6</v>
      </c>
      <c r="AN27">
        <v>10.3</v>
      </c>
      <c r="AO27">
        <v>10.1</v>
      </c>
      <c r="AP27">
        <v>10.8</v>
      </c>
      <c r="AQ27">
        <v>10.8</v>
      </c>
      <c r="AR27">
        <v>11.2</v>
      </c>
      <c r="AS27">
        <v>11.3</v>
      </c>
      <c r="AT27">
        <v>11.7</v>
      </c>
      <c r="AU27">
        <v>11.3</v>
      </c>
      <c r="AV27">
        <v>11.2</v>
      </c>
      <c r="AW27">
        <v>10.6</v>
      </c>
      <c r="AX27">
        <v>9.9</v>
      </c>
      <c r="AY27">
        <v>9.4</v>
      </c>
      <c r="BA27">
        <v>7.8</v>
      </c>
      <c r="BB27">
        <v>7.8</v>
      </c>
    </row>
    <row r="29" spans="1:54" x14ac:dyDescent="0.25">
      <c r="B29" t="s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2.5</v>
      </c>
      <c r="U29">
        <v>2.5</v>
      </c>
      <c r="V29">
        <v>2.5</v>
      </c>
      <c r="W29">
        <v>2.5</v>
      </c>
      <c r="X29">
        <v>2.5</v>
      </c>
      <c r="Y29">
        <v>2.5</v>
      </c>
      <c r="Z29">
        <v>2.5</v>
      </c>
      <c r="AA29">
        <v>2.5</v>
      </c>
      <c r="AB29">
        <v>2.5</v>
      </c>
      <c r="AC29">
        <v>2.5</v>
      </c>
      <c r="AD29">
        <v>2.5</v>
      </c>
      <c r="AE29">
        <v>2.5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BA29">
        <v>2</v>
      </c>
      <c r="BB29">
        <v>2</v>
      </c>
    </row>
    <row r="30" spans="1:54" x14ac:dyDescent="0.25">
      <c r="C30">
        <f t="shared" ref="C30:S30" si="2">C27*C29</f>
        <v>16.8</v>
      </c>
      <c r="D30">
        <f t="shared" si="2"/>
        <v>16.799999999999997</v>
      </c>
      <c r="E30">
        <f t="shared" si="2"/>
        <v>17</v>
      </c>
      <c r="F30">
        <f t="shared" si="2"/>
        <v>16.600000000000001</v>
      </c>
      <c r="G30">
        <f t="shared" si="2"/>
        <v>15.4</v>
      </c>
      <c r="H30">
        <f t="shared" si="2"/>
        <v>14.8</v>
      </c>
      <c r="I30">
        <f t="shared" si="2"/>
        <v>13</v>
      </c>
      <c r="J30">
        <f t="shared" si="2"/>
        <v>12.8</v>
      </c>
      <c r="K30">
        <f t="shared" si="2"/>
        <v>11.2</v>
      </c>
      <c r="L30">
        <f t="shared" si="2"/>
        <v>10.8</v>
      </c>
      <c r="M30">
        <f t="shared" si="2"/>
        <v>9.8000000000000007</v>
      </c>
      <c r="N30">
        <f t="shared" si="2"/>
        <v>10.4</v>
      </c>
      <c r="O30">
        <f t="shared" si="2"/>
        <v>12</v>
      </c>
      <c r="P30">
        <f t="shared" si="2"/>
        <v>11.8</v>
      </c>
      <c r="Q30">
        <f t="shared" si="2"/>
        <v>12</v>
      </c>
      <c r="R30">
        <f t="shared" si="2"/>
        <v>12.2</v>
      </c>
      <c r="S30">
        <f t="shared" si="2"/>
        <v>12.2</v>
      </c>
      <c r="T30">
        <f t="shared" ref="T30:AF30" si="3">T27*T29</f>
        <v>13.25</v>
      </c>
      <c r="U30">
        <f t="shared" si="3"/>
        <v>13</v>
      </c>
      <c r="V30">
        <f t="shared" si="3"/>
        <v>12.5</v>
      </c>
      <c r="W30">
        <f t="shared" si="3"/>
        <v>13.75</v>
      </c>
      <c r="X30">
        <f t="shared" si="3"/>
        <v>12.5</v>
      </c>
      <c r="Y30">
        <f t="shared" si="3"/>
        <v>14.25</v>
      </c>
      <c r="Z30">
        <f t="shared" si="3"/>
        <v>14.25</v>
      </c>
      <c r="AA30" s="10">
        <f t="shared" si="3"/>
        <v>13.5</v>
      </c>
      <c r="AB30" s="10">
        <f t="shared" si="3"/>
        <v>14</v>
      </c>
      <c r="AC30" s="10">
        <f t="shared" si="3"/>
        <v>14</v>
      </c>
      <c r="AD30" s="10">
        <f t="shared" si="3"/>
        <v>14.75</v>
      </c>
      <c r="AE30" s="10">
        <f t="shared" si="3"/>
        <v>15.25</v>
      </c>
      <c r="AF30" s="10">
        <f t="shared" si="3"/>
        <v>18.600000000000001</v>
      </c>
      <c r="AG30" s="10">
        <f>AG27*AG29</f>
        <v>18.2</v>
      </c>
      <c r="AH30">
        <v>18.2</v>
      </c>
      <c r="AI30" s="10">
        <f>AI27*AI29</f>
        <v>18.8</v>
      </c>
      <c r="AJ30" s="10">
        <f>AJ27*AJ29</f>
        <v>18.600000000000001</v>
      </c>
      <c r="AK30" s="10">
        <f>AK27*AK29</f>
        <v>18.8</v>
      </c>
      <c r="AL30">
        <v>18.8</v>
      </c>
      <c r="AM30">
        <f>AM27*AM29</f>
        <v>19.2</v>
      </c>
      <c r="AN30">
        <f>AN27*AN29</f>
        <v>20.6</v>
      </c>
      <c r="AO30">
        <f>AO27*AO29</f>
        <v>20.2</v>
      </c>
      <c r="AP30">
        <f>AP27*AP29</f>
        <v>21.6</v>
      </c>
      <c r="AQ30">
        <v>21.6</v>
      </c>
      <c r="AR30">
        <f t="shared" ref="AR30:AW30" si="4">AR27*AR29</f>
        <v>22.4</v>
      </c>
      <c r="AS30">
        <f t="shared" si="4"/>
        <v>22.6</v>
      </c>
      <c r="AT30">
        <f t="shared" si="4"/>
        <v>23.4</v>
      </c>
      <c r="AU30">
        <f t="shared" si="4"/>
        <v>22.6</v>
      </c>
      <c r="AV30">
        <f t="shared" si="4"/>
        <v>22.4</v>
      </c>
      <c r="AW30">
        <f t="shared" si="4"/>
        <v>21.2</v>
      </c>
      <c r="AX30">
        <f>AX27*AX29</f>
        <v>19.8</v>
      </c>
      <c r="AY30">
        <f>AY27*AY29</f>
        <v>18.8</v>
      </c>
      <c r="BA30">
        <f>BA27*BA29</f>
        <v>15.6</v>
      </c>
      <c r="BB30">
        <f>BB27*BB29</f>
        <v>15.6</v>
      </c>
    </row>
    <row r="32" spans="1:54" x14ac:dyDescent="0.25">
      <c r="A32" t="s">
        <v>1</v>
      </c>
    </row>
    <row r="33" spans="1:54" x14ac:dyDescent="0.25">
      <c r="B33" t="s">
        <v>3</v>
      </c>
      <c r="C33">
        <v>4.3</v>
      </c>
      <c r="D33">
        <v>4</v>
      </c>
      <c r="E33">
        <v>3.7</v>
      </c>
      <c r="F33">
        <v>3.2</v>
      </c>
      <c r="G33">
        <v>3.3</v>
      </c>
      <c r="H33">
        <v>2.8</v>
      </c>
      <c r="I33">
        <v>2.5</v>
      </c>
      <c r="J33">
        <v>2.4</v>
      </c>
      <c r="K33">
        <v>2.6</v>
      </c>
      <c r="L33">
        <v>1.2</v>
      </c>
      <c r="M33">
        <v>1.9</v>
      </c>
      <c r="N33">
        <v>1.5</v>
      </c>
      <c r="O33">
        <v>2.2999999999999998</v>
      </c>
      <c r="P33">
        <v>1.5</v>
      </c>
      <c r="Q33">
        <v>1.5</v>
      </c>
      <c r="R33">
        <v>1.4</v>
      </c>
      <c r="S33">
        <v>1.5</v>
      </c>
      <c r="T33">
        <v>2.2999999999999998</v>
      </c>
      <c r="U33">
        <v>1.7</v>
      </c>
      <c r="V33">
        <v>1.3</v>
      </c>
      <c r="W33">
        <v>2</v>
      </c>
      <c r="X33">
        <v>2.2000000000000002</v>
      </c>
      <c r="Y33">
        <v>1.9</v>
      </c>
      <c r="Z33">
        <v>1.9</v>
      </c>
      <c r="AA33">
        <v>1.4</v>
      </c>
      <c r="AB33">
        <v>1.5</v>
      </c>
      <c r="AC33">
        <v>2.2000000000000002</v>
      </c>
      <c r="AD33">
        <v>2.6</v>
      </c>
      <c r="AE33">
        <v>2.5</v>
      </c>
      <c r="AF33">
        <v>2.8</v>
      </c>
      <c r="AG33">
        <v>2.5</v>
      </c>
      <c r="AH33">
        <v>2.5</v>
      </c>
      <c r="AI33">
        <v>2.5</v>
      </c>
      <c r="AJ33">
        <v>2.2000000000000002</v>
      </c>
      <c r="AK33">
        <v>2</v>
      </c>
      <c r="AL33">
        <v>1.9</v>
      </c>
      <c r="AM33">
        <v>2.2000000000000002</v>
      </c>
      <c r="AN33">
        <v>3.1</v>
      </c>
      <c r="AO33">
        <v>3.2</v>
      </c>
      <c r="AP33">
        <v>3.4</v>
      </c>
      <c r="AQ33">
        <v>3.5</v>
      </c>
      <c r="AR33">
        <v>3.4</v>
      </c>
      <c r="AS33">
        <v>3.6</v>
      </c>
      <c r="AT33">
        <v>4</v>
      </c>
      <c r="AU33">
        <v>4</v>
      </c>
      <c r="AV33">
        <v>3.6</v>
      </c>
      <c r="AW33">
        <v>3.4</v>
      </c>
      <c r="AX33">
        <v>3.8</v>
      </c>
      <c r="AY33">
        <v>3.6</v>
      </c>
      <c r="BA33">
        <v>2.9</v>
      </c>
      <c r="BB33">
        <v>3</v>
      </c>
    </row>
    <row r="34" spans="1:54" x14ac:dyDescent="0.25">
      <c r="B34" t="s">
        <v>11</v>
      </c>
      <c r="C34">
        <v>2.2000000000000002</v>
      </c>
      <c r="D34">
        <v>2.2000000000000002</v>
      </c>
      <c r="E34">
        <v>2.1</v>
      </c>
      <c r="F34">
        <v>2.4</v>
      </c>
      <c r="G34">
        <v>1.4</v>
      </c>
      <c r="H34">
        <v>1.7</v>
      </c>
      <c r="I34">
        <v>1.2</v>
      </c>
      <c r="J34">
        <v>1.1000000000000001</v>
      </c>
      <c r="K34">
        <v>0.8</v>
      </c>
      <c r="L34">
        <v>2</v>
      </c>
      <c r="M34">
        <v>0.9</v>
      </c>
      <c r="N34">
        <v>1.4</v>
      </c>
      <c r="O34">
        <v>1.2</v>
      </c>
      <c r="P34">
        <v>2.2999999999999998</v>
      </c>
      <c r="Q34">
        <v>2.8</v>
      </c>
      <c r="R34">
        <v>2.8</v>
      </c>
      <c r="S34">
        <v>2.2999999999999998</v>
      </c>
      <c r="T34">
        <v>1.1000000000000001</v>
      </c>
      <c r="U34">
        <v>2</v>
      </c>
      <c r="V34">
        <v>2.2000000000000002</v>
      </c>
      <c r="W34">
        <v>1.4</v>
      </c>
      <c r="X34">
        <v>1.3</v>
      </c>
      <c r="Y34">
        <v>1.8</v>
      </c>
      <c r="Z34">
        <v>1.7</v>
      </c>
      <c r="AA34">
        <v>2</v>
      </c>
      <c r="AB34">
        <v>2.4</v>
      </c>
      <c r="AC34">
        <v>2.1</v>
      </c>
      <c r="AD34">
        <v>1.7</v>
      </c>
      <c r="AE34">
        <v>2.2999999999999998</v>
      </c>
      <c r="AF34">
        <v>1.8</v>
      </c>
      <c r="AG34">
        <v>2</v>
      </c>
      <c r="AH34">
        <v>2</v>
      </c>
      <c r="AI34">
        <v>2.2000000000000002</v>
      </c>
      <c r="AJ34">
        <v>2.6</v>
      </c>
      <c r="AK34">
        <v>3</v>
      </c>
      <c r="AL34">
        <v>3.2</v>
      </c>
      <c r="AM34">
        <v>3</v>
      </c>
      <c r="AN34">
        <v>1.9</v>
      </c>
      <c r="AO34">
        <v>2.2999999999999998</v>
      </c>
      <c r="AP34">
        <v>2.1</v>
      </c>
      <c r="AQ34">
        <v>2.5</v>
      </c>
      <c r="AR34">
        <v>2.9</v>
      </c>
      <c r="AS34">
        <v>2.5</v>
      </c>
      <c r="AT34">
        <v>2.2000000000000002</v>
      </c>
      <c r="AU34">
        <v>1.8</v>
      </c>
      <c r="AV34">
        <v>2.1</v>
      </c>
      <c r="AW34">
        <v>2.1</v>
      </c>
      <c r="AX34">
        <v>2.2999999999999998</v>
      </c>
      <c r="AY34">
        <v>2.2000000000000002</v>
      </c>
      <c r="BA34">
        <v>2</v>
      </c>
      <c r="BB34">
        <v>4</v>
      </c>
    </row>
    <row r="35" spans="1:54" x14ac:dyDescent="0.25">
      <c r="B35" t="s">
        <v>5</v>
      </c>
      <c r="C35">
        <v>6.5</v>
      </c>
      <c r="D35">
        <f>SUM(D33+D34)</f>
        <v>6.2</v>
      </c>
      <c r="E35">
        <v>5.8</v>
      </c>
      <c r="F35">
        <v>5.6</v>
      </c>
      <c r="G35">
        <v>5</v>
      </c>
      <c r="H35">
        <v>4.5</v>
      </c>
      <c r="I35">
        <v>3.7</v>
      </c>
      <c r="J35">
        <v>3.5</v>
      </c>
      <c r="K35">
        <v>3.4</v>
      </c>
      <c r="L35">
        <v>3.2</v>
      </c>
      <c r="M35">
        <v>2.8</v>
      </c>
      <c r="N35">
        <v>2.9</v>
      </c>
      <c r="O35">
        <v>3.5</v>
      </c>
      <c r="P35">
        <v>3.9</v>
      </c>
      <c r="Q35">
        <v>4.3</v>
      </c>
      <c r="R35">
        <v>4.2</v>
      </c>
      <c r="S35">
        <v>3.8</v>
      </c>
      <c r="T35">
        <v>3.4</v>
      </c>
      <c r="U35">
        <v>3.7</v>
      </c>
      <c r="V35">
        <v>3.5</v>
      </c>
      <c r="W35">
        <v>3.4</v>
      </c>
      <c r="X35">
        <v>3.5</v>
      </c>
      <c r="Y35">
        <v>3.7</v>
      </c>
      <c r="Z35">
        <v>3.6</v>
      </c>
      <c r="AA35">
        <v>3.4</v>
      </c>
      <c r="AB35">
        <v>3.9</v>
      </c>
      <c r="AC35">
        <v>4.3</v>
      </c>
      <c r="AD35">
        <v>4.3</v>
      </c>
      <c r="AE35">
        <v>4.8</v>
      </c>
      <c r="AF35">
        <v>4.5999999999999996</v>
      </c>
      <c r="AG35">
        <v>4.5</v>
      </c>
      <c r="AH35">
        <v>4.5</v>
      </c>
      <c r="AI35">
        <v>4.7</v>
      </c>
      <c r="AJ35">
        <v>4.8</v>
      </c>
      <c r="AK35">
        <v>5</v>
      </c>
      <c r="AL35">
        <v>5.0999999999999996</v>
      </c>
      <c r="AM35">
        <v>5.2</v>
      </c>
      <c r="AN35">
        <v>5</v>
      </c>
      <c r="AO35">
        <v>5.5</v>
      </c>
      <c r="AP35">
        <v>5.5</v>
      </c>
      <c r="AQ35">
        <v>6</v>
      </c>
      <c r="AR35">
        <v>6.3</v>
      </c>
      <c r="AS35">
        <v>6.1</v>
      </c>
      <c r="AT35">
        <v>6.2</v>
      </c>
      <c r="AU35">
        <v>5.8</v>
      </c>
      <c r="AV35">
        <v>5.7</v>
      </c>
      <c r="AW35">
        <v>5.5</v>
      </c>
      <c r="AX35">
        <v>6.1</v>
      </c>
      <c r="AY35">
        <v>5.8</v>
      </c>
      <c r="BA35">
        <v>4.9000000000000004</v>
      </c>
      <c r="BB35">
        <v>7</v>
      </c>
    </row>
    <row r="36" spans="1:54" x14ac:dyDescent="0.25">
      <c r="AN36"/>
    </row>
    <row r="37" spans="1:54" x14ac:dyDescent="0.25">
      <c r="B37" t="s">
        <v>2</v>
      </c>
      <c r="C37">
        <v>5</v>
      </c>
      <c r="D37">
        <v>5</v>
      </c>
      <c r="E37">
        <v>5</v>
      </c>
      <c r="F37">
        <v>5</v>
      </c>
      <c r="G37">
        <v>5</v>
      </c>
      <c r="H37">
        <v>5</v>
      </c>
      <c r="I37">
        <v>5</v>
      </c>
      <c r="J37">
        <v>5</v>
      </c>
      <c r="K37">
        <v>5</v>
      </c>
      <c r="L37">
        <v>5</v>
      </c>
      <c r="M37">
        <v>5</v>
      </c>
      <c r="N37">
        <v>5</v>
      </c>
      <c r="O37">
        <v>5</v>
      </c>
      <c r="P37">
        <v>5</v>
      </c>
      <c r="Q37">
        <v>5</v>
      </c>
      <c r="R37">
        <v>5</v>
      </c>
      <c r="S37">
        <v>5</v>
      </c>
      <c r="T37">
        <v>5.5</v>
      </c>
      <c r="U37">
        <v>5.5</v>
      </c>
      <c r="V37">
        <v>5.5</v>
      </c>
      <c r="W37">
        <v>5.5</v>
      </c>
      <c r="X37">
        <v>5.5</v>
      </c>
      <c r="Y37">
        <v>5.5</v>
      </c>
      <c r="Z37">
        <v>5.5</v>
      </c>
      <c r="AA37">
        <v>5.5</v>
      </c>
      <c r="AB37">
        <v>5.5</v>
      </c>
      <c r="AC37">
        <v>5.5</v>
      </c>
      <c r="AD37">
        <v>5.5</v>
      </c>
      <c r="AE37">
        <v>5.5</v>
      </c>
      <c r="AF37">
        <v>6</v>
      </c>
      <c r="AG37">
        <v>6</v>
      </c>
      <c r="AH37">
        <v>6</v>
      </c>
      <c r="AI37">
        <v>6</v>
      </c>
      <c r="AJ37">
        <v>6</v>
      </c>
      <c r="AK37">
        <v>6</v>
      </c>
      <c r="AL37">
        <v>6</v>
      </c>
      <c r="AM37">
        <v>6</v>
      </c>
      <c r="AN37">
        <v>6</v>
      </c>
      <c r="AO37">
        <v>6</v>
      </c>
      <c r="AP37">
        <v>6</v>
      </c>
      <c r="AQ37">
        <v>6</v>
      </c>
      <c r="AR37">
        <v>6</v>
      </c>
      <c r="AS37">
        <v>6</v>
      </c>
      <c r="AT37">
        <v>6</v>
      </c>
      <c r="AU37">
        <v>6</v>
      </c>
      <c r="AV37">
        <v>6</v>
      </c>
      <c r="AW37">
        <v>6</v>
      </c>
      <c r="AX37">
        <v>5</v>
      </c>
      <c r="AY37">
        <v>5</v>
      </c>
      <c r="BA37">
        <v>5</v>
      </c>
      <c r="BB37">
        <v>5</v>
      </c>
    </row>
    <row r="38" spans="1:54" x14ac:dyDescent="0.25">
      <c r="C38">
        <f t="shared" ref="C38:S38" si="5">C35*C37</f>
        <v>32.5</v>
      </c>
      <c r="D38">
        <f t="shared" si="5"/>
        <v>31</v>
      </c>
      <c r="E38">
        <f t="shared" si="5"/>
        <v>29</v>
      </c>
      <c r="F38">
        <f t="shared" si="5"/>
        <v>28</v>
      </c>
      <c r="G38">
        <f t="shared" si="5"/>
        <v>25</v>
      </c>
      <c r="H38">
        <f t="shared" si="5"/>
        <v>22.5</v>
      </c>
      <c r="I38">
        <f t="shared" si="5"/>
        <v>18.5</v>
      </c>
      <c r="J38">
        <f t="shared" si="5"/>
        <v>17.5</v>
      </c>
      <c r="K38">
        <f t="shared" si="5"/>
        <v>17</v>
      </c>
      <c r="L38">
        <f t="shared" si="5"/>
        <v>16</v>
      </c>
      <c r="M38">
        <f t="shared" si="5"/>
        <v>14</v>
      </c>
      <c r="N38">
        <f t="shared" si="5"/>
        <v>14.5</v>
      </c>
      <c r="O38">
        <f t="shared" si="5"/>
        <v>17.5</v>
      </c>
      <c r="P38">
        <f t="shared" si="5"/>
        <v>19.5</v>
      </c>
      <c r="Q38">
        <f t="shared" si="5"/>
        <v>21.5</v>
      </c>
      <c r="R38">
        <f t="shared" si="5"/>
        <v>21</v>
      </c>
      <c r="S38">
        <f t="shared" si="5"/>
        <v>19</v>
      </c>
      <c r="T38">
        <f t="shared" ref="T38:AG38" si="6">T35*T37</f>
        <v>18.7</v>
      </c>
      <c r="U38">
        <f t="shared" si="6"/>
        <v>20.350000000000001</v>
      </c>
      <c r="V38">
        <f t="shared" si="6"/>
        <v>19.25</v>
      </c>
      <c r="W38" s="10">
        <f t="shared" si="6"/>
        <v>18.7</v>
      </c>
      <c r="X38" s="10">
        <f t="shared" si="6"/>
        <v>19.25</v>
      </c>
      <c r="Y38" s="10">
        <f t="shared" si="6"/>
        <v>20.350000000000001</v>
      </c>
      <c r="Z38" s="10">
        <f t="shared" si="6"/>
        <v>19.8</v>
      </c>
      <c r="AA38" s="10">
        <f t="shared" si="6"/>
        <v>18.7</v>
      </c>
      <c r="AB38" s="10">
        <f t="shared" si="6"/>
        <v>21.45</v>
      </c>
      <c r="AC38" s="10">
        <f t="shared" si="6"/>
        <v>23.65</v>
      </c>
      <c r="AD38" s="10">
        <f t="shared" si="6"/>
        <v>23.65</v>
      </c>
      <c r="AE38" s="10">
        <f t="shared" si="6"/>
        <v>26.4</v>
      </c>
      <c r="AF38" s="10">
        <f t="shared" si="6"/>
        <v>27.599999999999998</v>
      </c>
      <c r="AG38" s="10">
        <f t="shared" si="6"/>
        <v>27</v>
      </c>
      <c r="AH38">
        <v>27</v>
      </c>
      <c r="AI38">
        <f t="shared" ref="AI38:AN38" si="7">AI35*AI37</f>
        <v>28.200000000000003</v>
      </c>
      <c r="AJ38">
        <f t="shared" si="7"/>
        <v>28.799999999999997</v>
      </c>
      <c r="AK38">
        <f t="shared" si="7"/>
        <v>30</v>
      </c>
      <c r="AL38">
        <f t="shared" si="7"/>
        <v>30.599999999999998</v>
      </c>
      <c r="AM38">
        <f t="shared" si="7"/>
        <v>31.200000000000003</v>
      </c>
      <c r="AN38">
        <f t="shared" si="7"/>
        <v>30</v>
      </c>
      <c r="AO38">
        <f>AO35*AO37</f>
        <v>33</v>
      </c>
      <c r="AP38">
        <f>AP35*AP37</f>
        <v>33</v>
      </c>
      <c r="AQ38">
        <f>AQ35*AQ37</f>
        <v>36</v>
      </c>
      <c r="AR38">
        <f>AR37*AR35</f>
        <v>37.799999999999997</v>
      </c>
      <c r="AS38">
        <f t="shared" ref="AS38:AX38" si="8">AS35*AS37</f>
        <v>36.599999999999994</v>
      </c>
      <c r="AT38">
        <f t="shared" si="8"/>
        <v>37.200000000000003</v>
      </c>
      <c r="AU38">
        <f t="shared" si="8"/>
        <v>34.799999999999997</v>
      </c>
      <c r="AV38">
        <f t="shared" si="8"/>
        <v>34.200000000000003</v>
      </c>
      <c r="AW38">
        <f t="shared" si="8"/>
        <v>33</v>
      </c>
      <c r="AX38">
        <f t="shared" si="8"/>
        <v>30.5</v>
      </c>
      <c r="AY38">
        <f>AY35*AY37</f>
        <v>29</v>
      </c>
      <c r="BA38">
        <f>BA35*BA37</f>
        <v>24.5</v>
      </c>
      <c r="BB38">
        <f>BB35*BB37</f>
        <v>35</v>
      </c>
    </row>
    <row r="41" spans="1:54" x14ac:dyDescent="0.25">
      <c r="AM41" s="10"/>
      <c r="AS41"/>
    </row>
    <row r="42" spans="1:54" s="1" customFormat="1" x14ac:dyDescent="0.25">
      <c r="B42" s="2">
        <v>2024</v>
      </c>
      <c r="C42" s="1">
        <v>45297</v>
      </c>
      <c r="D42" s="1">
        <v>45304</v>
      </c>
      <c r="E42" s="1">
        <v>45311</v>
      </c>
      <c r="F42" s="1">
        <v>45318</v>
      </c>
      <c r="G42" s="1">
        <v>45325</v>
      </c>
      <c r="H42" s="1">
        <v>45332</v>
      </c>
      <c r="I42" s="1">
        <v>45339</v>
      </c>
      <c r="J42" s="1">
        <v>45346</v>
      </c>
      <c r="K42" s="1">
        <v>45353</v>
      </c>
      <c r="L42" s="1">
        <v>45360</v>
      </c>
      <c r="M42" s="1">
        <v>45367</v>
      </c>
      <c r="N42" s="1">
        <v>45374</v>
      </c>
      <c r="O42" s="1">
        <v>45381</v>
      </c>
      <c r="P42" s="1">
        <v>45388</v>
      </c>
      <c r="Q42" s="1">
        <v>45395</v>
      </c>
      <c r="R42" s="1">
        <v>45402</v>
      </c>
      <c r="S42" s="1">
        <v>45409</v>
      </c>
      <c r="T42" s="1">
        <v>45416</v>
      </c>
      <c r="U42" s="1">
        <v>45423</v>
      </c>
      <c r="V42" s="1">
        <v>45430</v>
      </c>
      <c r="W42" s="1">
        <v>45437</v>
      </c>
      <c r="X42" s="1">
        <v>45444</v>
      </c>
      <c r="Y42" s="1">
        <v>45451</v>
      </c>
      <c r="Z42" s="1">
        <v>45458</v>
      </c>
      <c r="AA42" s="1">
        <v>45465</v>
      </c>
      <c r="AB42" s="1">
        <v>45472</v>
      </c>
      <c r="AC42" s="1">
        <v>45479</v>
      </c>
      <c r="AD42" s="1">
        <v>45486</v>
      </c>
      <c r="AE42" s="1">
        <v>45493</v>
      </c>
      <c r="AF42" s="1">
        <v>45500</v>
      </c>
      <c r="AG42" s="1">
        <v>45507</v>
      </c>
      <c r="AH42" s="1">
        <v>45514</v>
      </c>
      <c r="AI42" s="1">
        <v>45521</v>
      </c>
      <c r="AJ42" s="1">
        <v>45528</v>
      </c>
      <c r="AK42" s="1">
        <v>45535</v>
      </c>
      <c r="AL42" s="1">
        <v>45542</v>
      </c>
      <c r="AM42" s="1">
        <v>45549</v>
      </c>
      <c r="AN42" s="1">
        <v>45556</v>
      </c>
      <c r="AO42" s="1">
        <v>45563</v>
      </c>
      <c r="AP42" s="1">
        <v>45570</v>
      </c>
      <c r="AQ42" s="1">
        <v>45577</v>
      </c>
      <c r="AR42" s="1">
        <v>45584</v>
      </c>
      <c r="AS42" s="1">
        <v>45591</v>
      </c>
      <c r="AT42" s="1">
        <v>45598</v>
      </c>
      <c r="AU42" s="1">
        <v>45605</v>
      </c>
      <c r="AV42" s="1">
        <v>45612</v>
      </c>
      <c r="AW42" s="1">
        <v>45619</v>
      </c>
      <c r="AX42" s="1">
        <v>45626</v>
      </c>
      <c r="AY42" s="1">
        <v>45633</v>
      </c>
      <c r="AZ42" s="1">
        <v>45640</v>
      </c>
      <c r="BA42" s="1">
        <v>45647</v>
      </c>
      <c r="BB42" s="1">
        <v>45654</v>
      </c>
    </row>
    <row r="43" spans="1:54" x14ac:dyDescent="0.25">
      <c r="AM43" s="10"/>
      <c r="AS43"/>
    </row>
    <row r="44" spans="1:54" x14ac:dyDescent="0.25">
      <c r="A44" t="s">
        <v>0</v>
      </c>
      <c r="AM44" s="10"/>
      <c r="AS44"/>
    </row>
    <row r="45" spans="1:54" x14ac:dyDescent="0.25">
      <c r="B45" t="s">
        <v>3</v>
      </c>
      <c r="C45">
        <v>6.9</v>
      </c>
      <c r="D45">
        <v>7</v>
      </c>
      <c r="E45">
        <v>6.7</v>
      </c>
      <c r="F45">
        <v>6.7</v>
      </c>
      <c r="G45">
        <v>7.1</v>
      </c>
      <c r="H45">
        <v>6.1</v>
      </c>
      <c r="I45">
        <v>6.1</v>
      </c>
      <c r="J45">
        <v>4.9000000000000004</v>
      </c>
      <c r="K45">
        <v>4.8</v>
      </c>
      <c r="L45">
        <v>4.4000000000000004</v>
      </c>
      <c r="M45">
        <v>4.8</v>
      </c>
      <c r="N45">
        <v>5.0999999999999996</v>
      </c>
      <c r="O45">
        <v>5.0999999999999996</v>
      </c>
      <c r="P45">
        <v>4.9000000000000004</v>
      </c>
      <c r="Q45">
        <v>4.5</v>
      </c>
      <c r="R45">
        <v>4.7</v>
      </c>
      <c r="S45">
        <v>4.9000000000000004</v>
      </c>
      <c r="V45">
        <v>5.9</v>
      </c>
      <c r="W45">
        <v>6</v>
      </c>
      <c r="X45">
        <v>6.2</v>
      </c>
      <c r="Y45">
        <v>6.5</v>
      </c>
      <c r="Z45">
        <v>7.1</v>
      </c>
      <c r="AA45">
        <v>6.9</v>
      </c>
      <c r="AB45">
        <v>6.6</v>
      </c>
      <c r="AC45">
        <v>7</v>
      </c>
      <c r="AD45">
        <v>7</v>
      </c>
      <c r="AF45">
        <v>6.8</v>
      </c>
      <c r="AG45">
        <v>7.1</v>
      </c>
      <c r="AH45">
        <v>7</v>
      </c>
      <c r="AI45">
        <v>7.3</v>
      </c>
      <c r="AJ45">
        <v>7.3</v>
      </c>
      <c r="AK45">
        <v>6.7</v>
      </c>
      <c r="AL45">
        <v>8.9</v>
      </c>
      <c r="AM45">
        <v>8.5</v>
      </c>
      <c r="AN45">
        <v>7.9</v>
      </c>
      <c r="AO45">
        <v>7.2</v>
      </c>
      <c r="AP45">
        <v>7.7</v>
      </c>
      <c r="AQ45">
        <v>7.1</v>
      </c>
      <c r="AR45">
        <v>7.5</v>
      </c>
      <c r="AS45">
        <v>7</v>
      </c>
      <c r="AT45">
        <v>6.7</v>
      </c>
      <c r="AU45">
        <v>7</v>
      </c>
      <c r="AV45">
        <v>7</v>
      </c>
      <c r="AW45">
        <v>6.7</v>
      </c>
      <c r="AX45">
        <v>6.2</v>
      </c>
      <c r="AY45">
        <v>6.8</v>
      </c>
      <c r="AZ45">
        <v>5.9</v>
      </c>
      <c r="BA45">
        <v>6.5</v>
      </c>
      <c r="BB45">
        <v>6.4</v>
      </c>
    </row>
    <row r="46" spans="1:54" x14ac:dyDescent="0.25">
      <c r="B46" t="s">
        <v>11</v>
      </c>
      <c r="C46">
        <v>5.2</v>
      </c>
      <c r="D46">
        <v>4.5</v>
      </c>
      <c r="E46">
        <v>5.4</v>
      </c>
      <c r="F46">
        <v>5.4</v>
      </c>
      <c r="G46">
        <v>4.5</v>
      </c>
      <c r="H46">
        <v>2.5</v>
      </c>
      <c r="I46">
        <v>2.5</v>
      </c>
      <c r="J46">
        <v>2.2999999999999998</v>
      </c>
      <c r="K46">
        <v>2.2000000000000002</v>
      </c>
      <c r="L46">
        <v>3</v>
      </c>
      <c r="M46">
        <v>2.8</v>
      </c>
      <c r="N46">
        <v>2.2000000000000002</v>
      </c>
      <c r="O46">
        <v>2</v>
      </c>
      <c r="P46">
        <v>2.2000000000000002</v>
      </c>
      <c r="Q46">
        <v>2.8</v>
      </c>
      <c r="R46">
        <v>3</v>
      </c>
      <c r="S46">
        <v>3.1</v>
      </c>
      <c r="V46">
        <v>2.9</v>
      </c>
      <c r="W46">
        <v>3.3</v>
      </c>
      <c r="X46">
        <v>3.8</v>
      </c>
      <c r="Y46">
        <v>3.6</v>
      </c>
      <c r="Z46">
        <v>3.2</v>
      </c>
      <c r="AA46">
        <v>2.9</v>
      </c>
      <c r="AB46">
        <v>3.4</v>
      </c>
      <c r="AC46">
        <v>2.5</v>
      </c>
      <c r="AD46">
        <v>2.8</v>
      </c>
      <c r="AF46">
        <v>3.8</v>
      </c>
      <c r="AG46">
        <v>3</v>
      </c>
      <c r="AH46">
        <v>2.8</v>
      </c>
      <c r="AI46">
        <v>2.7</v>
      </c>
      <c r="AJ46">
        <v>2.8</v>
      </c>
      <c r="AK46">
        <v>3</v>
      </c>
      <c r="AL46">
        <v>2.5</v>
      </c>
      <c r="AM46">
        <v>2.7</v>
      </c>
      <c r="AN46">
        <v>3.1</v>
      </c>
      <c r="AO46">
        <v>3.6</v>
      </c>
      <c r="AP46">
        <v>3.8</v>
      </c>
      <c r="AQ46">
        <v>4.2</v>
      </c>
      <c r="AR46">
        <v>3</v>
      </c>
      <c r="AS46">
        <v>3</v>
      </c>
      <c r="AT46">
        <v>3</v>
      </c>
      <c r="AU46">
        <v>2.4</v>
      </c>
      <c r="AV46">
        <v>3.3</v>
      </c>
      <c r="AW46">
        <v>3.3</v>
      </c>
      <c r="AX46">
        <v>3.6</v>
      </c>
      <c r="AY46">
        <v>3.3</v>
      </c>
      <c r="AZ46">
        <v>4.2</v>
      </c>
      <c r="BA46">
        <v>3.2</v>
      </c>
      <c r="BB46">
        <v>2.7</v>
      </c>
    </row>
    <row r="47" spans="1:54" x14ac:dyDescent="0.25">
      <c r="B47" t="s">
        <v>5</v>
      </c>
      <c r="C47">
        <v>12.1</v>
      </c>
      <c r="D47">
        <v>11.5</v>
      </c>
      <c r="E47">
        <v>12.1</v>
      </c>
      <c r="F47">
        <v>11.8</v>
      </c>
      <c r="G47">
        <v>11.6</v>
      </c>
      <c r="H47">
        <v>8.6</v>
      </c>
      <c r="I47">
        <v>7.8</v>
      </c>
      <c r="J47">
        <v>7.2</v>
      </c>
      <c r="K47">
        <v>7</v>
      </c>
      <c r="L47">
        <v>7.4</v>
      </c>
      <c r="M47">
        <v>7.6</v>
      </c>
      <c r="N47">
        <v>7.3</v>
      </c>
      <c r="O47">
        <v>7.1</v>
      </c>
      <c r="P47">
        <v>7.1</v>
      </c>
      <c r="Q47">
        <v>7.3</v>
      </c>
      <c r="R47">
        <v>7.7</v>
      </c>
      <c r="S47">
        <v>8</v>
      </c>
      <c r="V47">
        <v>8.8000000000000007</v>
      </c>
      <c r="W47">
        <v>9.3000000000000007</v>
      </c>
      <c r="X47">
        <v>10</v>
      </c>
      <c r="Y47">
        <v>10.1</v>
      </c>
      <c r="Z47">
        <v>10.3</v>
      </c>
      <c r="AA47">
        <v>9.8000000000000007</v>
      </c>
      <c r="AB47">
        <v>10</v>
      </c>
      <c r="AC47">
        <v>9.6</v>
      </c>
      <c r="AD47">
        <v>9.8000000000000007</v>
      </c>
      <c r="AF47">
        <v>10.6</v>
      </c>
      <c r="AG47">
        <v>10.1</v>
      </c>
      <c r="AH47">
        <v>9.8000000000000007</v>
      </c>
      <c r="AI47">
        <v>10</v>
      </c>
      <c r="AJ47">
        <v>10.1</v>
      </c>
      <c r="AK47">
        <v>9.6999999999999993</v>
      </c>
      <c r="AL47">
        <v>11.4</v>
      </c>
      <c r="AM47">
        <v>11.2</v>
      </c>
      <c r="AN47">
        <v>11</v>
      </c>
      <c r="AO47">
        <v>10.8</v>
      </c>
      <c r="AP47">
        <v>11.5</v>
      </c>
      <c r="AQ47">
        <v>11.3</v>
      </c>
      <c r="AR47">
        <v>10.5</v>
      </c>
      <c r="AS47">
        <v>10</v>
      </c>
      <c r="AT47">
        <v>9.6999999999999993</v>
      </c>
      <c r="AU47">
        <v>9.4</v>
      </c>
      <c r="AV47">
        <v>10.3</v>
      </c>
      <c r="AW47">
        <v>10</v>
      </c>
      <c r="AX47">
        <v>9.8000000000000007</v>
      </c>
      <c r="AY47">
        <v>10.1</v>
      </c>
      <c r="AZ47">
        <v>10.199999999999999</v>
      </c>
      <c r="BA47">
        <v>9.6999999999999993</v>
      </c>
      <c r="BB47">
        <v>9.1</v>
      </c>
    </row>
    <row r="48" spans="1:54" x14ac:dyDescent="0.25">
      <c r="AN48"/>
      <c r="AO48"/>
      <c r="AP48"/>
      <c r="AQ48"/>
      <c r="AR48"/>
      <c r="AS48"/>
    </row>
    <row r="49" spans="1:55" x14ac:dyDescent="0.25">
      <c r="B49" t="s">
        <v>2</v>
      </c>
      <c r="C49">
        <v>2</v>
      </c>
      <c r="D49">
        <v>2</v>
      </c>
      <c r="E49">
        <v>2</v>
      </c>
      <c r="F49">
        <v>2</v>
      </c>
      <c r="G49">
        <v>2</v>
      </c>
      <c r="H49">
        <v>2.5</v>
      </c>
      <c r="I49">
        <v>2.5</v>
      </c>
      <c r="J49">
        <v>2.5</v>
      </c>
      <c r="K49">
        <v>2.5</v>
      </c>
      <c r="L49">
        <v>2.5</v>
      </c>
      <c r="M49">
        <v>2.5</v>
      </c>
      <c r="N49">
        <v>2.5</v>
      </c>
      <c r="O49">
        <v>2.5</v>
      </c>
      <c r="P49">
        <v>2.5</v>
      </c>
      <c r="Q49">
        <v>2.5</v>
      </c>
      <c r="R49">
        <v>2.5</v>
      </c>
      <c r="S49">
        <v>2.5</v>
      </c>
      <c r="V49">
        <v>2.5</v>
      </c>
      <c r="W49">
        <v>2.5</v>
      </c>
      <c r="X49">
        <v>2.5</v>
      </c>
      <c r="Y49">
        <v>2.5</v>
      </c>
      <c r="Z49">
        <v>2.5</v>
      </c>
      <c r="AA49">
        <v>2.5</v>
      </c>
      <c r="AB49">
        <v>2.5</v>
      </c>
      <c r="AC49">
        <v>2.5</v>
      </c>
      <c r="AD49">
        <v>2.5</v>
      </c>
      <c r="AF49">
        <v>2.5</v>
      </c>
      <c r="AG49">
        <v>2.5</v>
      </c>
      <c r="AH49">
        <v>2.5</v>
      </c>
      <c r="AI49">
        <v>2.5</v>
      </c>
      <c r="AJ49">
        <v>2.5</v>
      </c>
      <c r="AK49">
        <v>2.5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U49">
        <v>2</v>
      </c>
      <c r="AV49">
        <v>2</v>
      </c>
      <c r="AW49">
        <v>2</v>
      </c>
      <c r="AX49">
        <v>2</v>
      </c>
      <c r="AY49">
        <v>2</v>
      </c>
      <c r="AZ49">
        <v>2</v>
      </c>
      <c r="BA49">
        <v>2</v>
      </c>
      <c r="BB49">
        <v>2</v>
      </c>
    </row>
    <row r="50" spans="1:55" x14ac:dyDescent="0.25">
      <c r="C50">
        <f t="shared" ref="C50:G50" si="9">C47*C49</f>
        <v>24.2</v>
      </c>
      <c r="D50">
        <f t="shared" si="9"/>
        <v>23</v>
      </c>
      <c r="E50">
        <f t="shared" si="9"/>
        <v>24.2</v>
      </c>
      <c r="F50">
        <f t="shared" si="9"/>
        <v>23.6</v>
      </c>
      <c r="G50">
        <f t="shared" si="9"/>
        <v>23.2</v>
      </c>
      <c r="H50">
        <f t="shared" ref="H50:L50" si="10">H47*H49</f>
        <v>21.5</v>
      </c>
      <c r="I50">
        <f t="shared" si="10"/>
        <v>19.5</v>
      </c>
      <c r="J50">
        <f t="shared" si="10"/>
        <v>18</v>
      </c>
      <c r="K50">
        <f t="shared" si="10"/>
        <v>17.5</v>
      </c>
      <c r="L50">
        <f t="shared" si="10"/>
        <v>18.5</v>
      </c>
      <c r="M50">
        <f t="shared" ref="M50:R50" si="11">M47*M49</f>
        <v>19</v>
      </c>
      <c r="N50">
        <f t="shared" si="11"/>
        <v>18.25</v>
      </c>
      <c r="O50">
        <f t="shared" si="11"/>
        <v>17.75</v>
      </c>
      <c r="P50">
        <f t="shared" si="11"/>
        <v>17.75</v>
      </c>
      <c r="Q50">
        <f t="shared" si="11"/>
        <v>18.25</v>
      </c>
      <c r="R50">
        <f t="shared" si="11"/>
        <v>19.25</v>
      </c>
      <c r="S50">
        <f>S47*S49</f>
        <v>20</v>
      </c>
      <c r="V50">
        <f t="shared" ref="V50:AF50" si="12">V47*V49</f>
        <v>22</v>
      </c>
      <c r="W50">
        <f t="shared" si="12"/>
        <v>23.25</v>
      </c>
      <c r="X50">
        <f t="shared" si="12"/>
        <v>25</v>
      </c>
      <c r="Y50">
        <f t="shared" si="12"/>
        <v>25.25</v>
      </c>
      <c r="Z50">
        <f t="shared" si="12"/>
        <v>25.75</v>
      </c>
      <c r="AA50">
        <f t="shared" si="12"/>
        <v>24.5</v>
      </c>
      <c r="AB50">
        <f t="shared" si="12"/>
        <v>25</v>
      </c>
      <c r="AC50">
        <f t="shared" si="12"/>
        <v>24</v>
      </c>
      <c r="AD50">
        <f t="shared" si="12"/>
        <v>24.5</v>
      </c>
      <c r="AF50">
        <f t="shared" si="12"/>
        <v>26.5</v>
      </c>
      <c r="AG50">
        <f t="shared" ref="AG50:AM50" si="13">AG47*AG49</f>
        <v>25.25</v>
      </c>
      <c r="AH50">
        <f t="shared" si="13"/>
        <v>24.5</v>
      </c>
      <c r="AI50">
        <f t="shared" si="13"/>
        <v>25</v>
      </c>
      <c r="AJ50">
        <f t="shared" si="13"/>
        <v>25.25</v>
      </c>
      <c r="AK50">
        <f t="shared" si="13"/>
        <v>24.25</v>
      </c>
      <c r="AL50">
        <f t="shared" si="13"/>
        <v>22.8</v>
      </c>
      <c r="AM50">
        <f t="shared" si="13"/>
        <v>22.4</v>
      </c>
      <c r="AN50">
        <f t="shared" ref="AN50:BB50" si="14">AN47*AN49</f>
        <v>22</v>
      </c>
      <c r="AO50">
        <f t="shared" si="14"/>
        <v>21.6</v>
      </c>
      <c r="AP50">
        <f t="shared" si="14"/>
        <v>23</v>
      </c>
      <c r="AQ50">
        <f t="shared" si="14"/>
        <v>22.6</v>
      </c>
      <c r="AR50">
        <f t="shared" si="14"/>
        <v>21</v>
      </c>
      <c r="AS50">
        <f t="shared" si="14"/>
        <v>20</v>
      </c>
      <c r="AT50">
        <f t="shared" si="14"/>
        <v>19.399999999999999</v>
      </c>
      <c r="AU50">
        <f t="shared" si="14"/>
        <v>18.8</v>
      </c>
      <c r="AV50">
        <f t="shared" si="14"/>
        <v>20.6</v>
      </c>
      <c r="AW50">
        <f t="shared" si="14"/>
        <v>20</v>
      </c>
      <c r="AX50">
        <f t="shared" si="14"/>
        <v>19.600000000000001</v>
      </c>
      <c r="AY50">
        <f t="shared" si="14"/>
        <v>20.2</v>
      </c>
      <c r="AZ50">
        <f t="shared" si="14"/>
        <v>20.399999999999999</v>
      </c>
      <c r="BA50">
        <f t="shared" si="14"/>
        <v>19.399999999999999</v>
      </c>
      <c r="BB50">
        <f t="shared" si="14"/>
        <v>18.2</v>
      </c>
    </row>
    <row r="51" spans="1:55" x14ac:dyDescent="0.25">
      <c r="AM51" s="10"/>
      <c r="AS51"/>
    </row>
    <row r="52" spans="1:55" x14ac:dyDescent="0.25">
      <c r="A52" t="s">
        <v>1</v>
      </c>
      <c r="D52" t="s">
        <v>10</v>
      </c>
      <c r="AM52" s="10"/>
      <c r="AS52"/>
    </row>
    <row r="53" spans="1:55" x14ac:dyDescent="0.25">
      <c r="B53" t="s">
        <v>3</v>
      </c>
      <c r="C53">
        <v>6</v>
      </c>
      <c r="D53">
        <v>4.7</v>
      </c>
      <c r="E53">
        <v>4.8</v>
      </c>
      <c r="F53">
        <v>5</v>
      </c>
      <c r="G53">
        <v>4.9000000000000004</v>
      </c>
      <c r="H53">
        <v>4.7</v>
      </c>
      <c r="I53">
        <v>4</v>
      </c>
      <c r="J53">
        <v>3.9</v>
      </c>
      <c r="K53">
        <v>3.2</v>
      </c>
      <c r="L53">
        <v>2.9</v>
      </c>
      <c r="M53">
        <v>2.8</v>
      </c>
      <c r="N53">
        <v>2.7</v>
      </c>
      <c r="O53">
        <v>2.5</v>
      </c>
      <c r="P53">
        <v>3</v>
      </c>
      <c r="Q53">
        <v>3.1</v>
      </c>
      <c r="R53">
        <v>2.8</v>
      </c>
      <c r="S53">
        <v>2.7</v>
      </c>
      <c r="V53">
        <v>3.4</v>
      </c>
      <c r="W53">
        <v>3.6</v>
      </c>
      <c r="X53">
        <v>3.5</v>
      </c>
      <c r="Y53">
        <v>3.6</v>
      </c>
      <c r="Z53">
        <v>3.8</v>
      </c>
      <c r="AA53">
        <v>4</v>
      </c>
      <c r="AB53">
        <v>3.8</v>
      </c>
      <c r="AC53">
        <v>4.5</v>
      </c>
      <c r="AD53">
        <v>4.3</v>
      </c>
      <c r="AF53">
        <v>4.4000000000000004</v>
      </c>
      <c r="AG53">
        <v>4.9000000000000004</v>
      </c>
      <c r="AH53">
        <v>4.9000000000000004</v>
      </c>
      <c r="AI53">
        <v>5.0999999999999996</v>
      </c>
      <c r="AJ53">
        <v>5.6</v>
      </c>
      <c r="AK53">
        <v>5.6</v>
      </c>
      <c r="AL53">
        <v>6.2</v>
      </c>
      <c r="AM53">
        <v>6.3</v>
      </c>
      <c r="AN53">
        <v>6</v>
      </c>
      <c r="AO53">
        <v>6.4</v>
      </c>
      <c r="AP53">
        <v>6.2</v>
      </c>
      <c r="AQ53">
        <v>6.3</v>
      </c>
      <c r="AR53">
        <v>6.7</v>
      </c>
      <c r="AS53">
        <v>6.4</v>
      </c>
      <c r="AT53">
        <v>6.5</v>
      </c>
      <c r="AU53">
        <v>5.8</v>
      </c>
      <c r="AV53">
        <v>5.9</v>
      </c>
      <c r="AW53">
        <v>5.8</v>
      </c>
      <c r="AX53">
        <v>5.4</v>
      </c>
      <c r="AY53">
        <v>5.5</v>
      </c>
      <c r="AZ53">
        <v>5.0999999999999996</v>
      </c>
      <c r="BA53">
        <v>5.0999999999999996</v>
      </c>
      <c r="BB53">
        <v>4.8</v>
      </c>
    </row>
    <row r="54" spans="1:55" x14ac:dyDescent="0.25">
      <c r="B54" t="s">
        <v>11</v>
      </c>
      <c r="C54">
        <v>5</v>
      </c>
      <c r="D54">
        <v>3.7</v>
      </c>
      <c r="E54">
        <v>3.6</v>
      </c>
      <c r="F54">
        <v>2.8</v>
      </c>
      <c r="G54">
        <v>2.5</v>
      </c>
      <c r="H54">
        <v>2.1</v>
      </c>
      <c r="I54">
        <v>2.2000000000000002</v>
      </c>
      <c r="J54">
        <v>1.8</v>
      </c>
      <c r="K54">
        <v>1.8</v>
      </c>
      <c r="L54">
        <v>1.8</v>
      </c>
      <c r="M54">
        <v>1.6</v>
      </c>
      <c r="N54">
        <v>1.8</v>
      </c>
      <c r="O54">
        <v>2</v>
      </c>
      <c r="P54">
        <v>1.6</v>
      </c>
      <c r="Q54">
        <v>1.6</v>
      </c>
      <c r="R54">
        <v>2.1</v>
      </c>
      <c r="S54">
        <v>2.5</v>
      </c>
      <c r="V54">
        <v>2.1</v>
      </c>
      <c r="W54">
        <v>2</v>
      </c>
      <c r="X54">
        <v>2.2000000000000002</v>
      </c>
      <c r="Y54">
        <v>2.2999999999999998</v>
      </c>
      <c r="Z54">
        <v>2.2000000000000002</v>
      </c>
      <c r="AA54">
        <v>2.5</v>
      </c>
      <c r="AB54">
        <v>2.7</v>
      </c>
      <c r="AC54">
        <v>2.2999999999999998</v>
      </c>
      <c r="AD54">
        <v>3.1</v>
      </c>
      <c r="AF54">
        <v>3.4</v>
      </c>
      <c r="AG54">
        <v>3.6</v>
      </c>
      <c r="AH54">
        <v>3.5</v>
      </c>
      <c r="AI54">
        <v>3.6</v>
      </c>
      <c r="AJ54">
        <v>3.4</v>
      </c>
      <c r="AK54">
        <v>3.7</v>
      </c>
      <c r="AL54">
        <v>3.2</v>
      </c>
      <c r="AM54">
        <v>3.3</v>
      </c>
      <c r="AN54">
        <v>3.6</v>
      </c>
      <c r="AO54">
        <v>3.6</v>
      </c>
      <c r="AP54">
        <v>3.9</v>
      </c>
      <c r="AQ54">
        <v>3.4</v>
      </c>
      <c r="AR54">
        <v>2.6</v>
      </c>
      <c r="AS54">
        <v>2.5</v>
      </c>
      <c r="AT54">
        <v>2.2000000000000002</v>
      </c>
      <c r="AU54">
        <v>2.2000000000000002</v>
      </c>
      <c r="AV54">
        <v>3.8</v>
      </c>
      <c r="AW54">
        <v>3.1</v>
      </c>
      <c r="AX54">
        <v>3.2</v>
      </c>
      <c r="AY54">
        <v>2.8</v>
      </c>
      <c r="AZ54">
        <v>3.2</v>
      </c>
      <c r="BA54">
        <v>2.7</v>
      </c>
      <c r="BB54">
        <v>2.2999999999999998</v>
      </c>
    </row>
    <row r="55" spans="1:55" x14ac:dyDescent="0.25">
      <c r="B55" t="s">
        <v>5</v>
      </c>
      <c r="C55">
        <v>11</v>
      </c>
      <c r="D55">
        <v>8.4</v>
      </c>
      <c r="E55">
        <v>8.4</v>
      </c>
      <c r="F55">
        <v>7.8</v>
      </c>
      <c r="G55">
        <v>7.4</v>
      </c>
      <c r="H55">
        <v>6.8</v>
      </c>
      <c r="I55">
        <v>6.2</v>
      </c>
      <c r="J55">
        <v>5.7</v>
      </c>
      <c r="K55">
        <v>5</v>
      </c>
      <c r="L55">
        <v>4.7</v>
      </c>
      <c r="M55">
        <v>4.4000000000000004</v>
      </c>
      <c r="N55">
        <v>4.5</v>
      </c>
      <c r="O55">
        <v>4.5</v>
      </c>
      <c r="P55">
        <v>4.5999999999999996</v>
      </c>
      <c r="Q55">
        <v>4.7</v>
      </c>
      <c r="R55">
        <v>4.9000000000000004</v>
      </c>
      <c r="S55">
        <v>5.2</v>
      </c>
      <c r="V55">
        <v>5.5</v>
      </c>
      <c r="W55">
        <v>5.6</v>
      </c>
      <c r="X55">
        <v>5.7</v>
      </c>
      <c r="Y55">
        <v>5.9</v>
      </c>
      <c r="Z55">
        <v>6</v>
      </c>
      <c r="AA55">
        <v>6.5</v>
      </c>
      <c r="AB55">
        <v>6.5</v>
      </c>
      <c r="AC55">
        <v>6.8</v>
      </c>
      <c r="AD55">
        <v>7.4</v>
      </c>
      <c r="AF55">
        <v>7.8</v>
      </c>
      <c r="AG55">
        <v>8.5</v>
      </c>
      <c r="AH55">
        <v>8.4</v>
      </c>
      <c r="AI55">
        <v>8.6999999999999993</v>
      </c>
      <c r="AJ55">
        <v>9</v>
      </c>
      <c r="AK55">
        <v>9.3000000000000007</v>
      </c>
      <c r="AL55">
        <v>9.4</v>
      </c>
      <c r="AM55">
        <v>9.6</v>
      </c>
      <c r="AN55">
        <v>9.6</v>
      </c>
      <c r="AO55">
        <v>10</v>
      </c>
      <c r="AP55">
        <v>11.1</v>
      </c>
      <c r="AQ55">
        <v>9.6999999999999993</v>
      </c>
      <c r="AR55">
        <v>9.3000000000000007</v>
      </c>
      <c r="AS55">
        <v>8.9</v>
      </c>
      <c r="AT55">
        <v>8.5</v>
      </c>
      <c r="AU55">
        <v>8</v>
      </c>
      <c r="AV55">
        <v>9.6999999999999993</v>
      </c>
      <c r="AW55">
        <v>8.9</v>
      </c>
      <c r="AX55">
        <v>8.6</v>
      </c>
      <c r="AY55">
        <v>8.3000000000000007</v>
      </c>
      <c r="AZ55">
        <v>8.3000000000000007</v>
      </c>
      <c r="BA55">
        <v>7.8</v>
      </c>
      <c r="BB55">
        <v>7.1</v>
      </c>
    </row>
    <row r="56" spans="1:55" x14ac:dyDescent="0.25">
      <c r="AN56"/>
      <c r="AO56"/>
      <c r="AP56"/>
      <c r="AQ56"/>
      <c r="AR56"/>
      <c r="AS56"/>
    </row>
    <row r="57" spans="1:55" x14ac:dyDescent="0.25">
      <c r="B57" t="s">
        <v>2</v>
      </c>
      <c r="C57">
        <v>4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5</v>
      </c>
      <c r="K57">
        <v>5</v>
      </c>
      <c r="L57">
        <v>5</v>
      </c>
      <c r="M57">
        <v>5</v>
      </c>
      <c r="N57">
        <v>5</v>
      </c>
      <c r="O57">
        <v>5</v>
      </c>
      <c r="P57">
        <v>5</v>
      </c>
      <c r="Q57">
        <v>5</v>
      </c>
      <c r="R57">
        <v>5</v>
      </c>
      <c r="S57">
        <v>5</v>
      </c>
      <c r="V57">
        <v>5</v>
      </c>
      <c r="W57">
        <v>5</v>
      </c>
      <c r="X57">
        <v>5</v>
      </c>
      <c r="Y57">
        <v>5</v>
      </c>
      <c r="Z57">
        <v>5</v>
      </c>
      <c r="AA57">
        <v>5</v>
      </c>
      <c r="AB57">
        <v>5</v>
      </c>
      <c r="AC57">
        <v>5</v>
      </c>
      <c r="AD57">
        <v>5</v>
      </c>
      <c r="AF57">
        <v>5</v>
      </c>
      <c r="AG57">
        <v>5</v>
      </c>
      <c r="AH57">
        <v>5</v>
      </c>
      <c r="AI57">
        <v>5</v>
      </c>
      <c r="AJ57">
        <v>5</v>
      </c>
      <c r="AK57">
        <v>5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5</v>
      </c>
      <c r="AS57">
        <v>5</v>
      </c>
      <c r="AT57">
        <v>5</v>
      </c>
      <c r="AU57">
        <v>5</v>
      </c>
      <c r="AV57">
        <v>5</v>
      </c>
      <c r="AW57">
        <v>5</v>
      </c>
      <c r="AX57">
        <v>5</v>
      </c>
      <c r="AY57">
        <v>5</v>
      </c>
      <c r="AZ57">
        <v>5</v>
      </c>
      <c r="BA57">
        <v>5</v>
      </c>
      <c r="BB57">
        <v>5</v>
      </c>
    </row>
    <row r="58" spans="1:55" x14ac:dyDescent="0.25">
      <c r="C58">
        <f t="shared" ref="C58:G58" si="15">C55*C57</f>
        <v>44</v>
      </c>
      <c r="D58">
        <f t="shared" si="15"/>
        <v>42</v>
      </c>
      <c r="E58">
        <f t="shared" si="15"/>
        <v>42</v>
      </c>
      <c r="F58">
        <f t="shared" si="15"/>
        <v>39</v>
      </c>
      <c r="G58">
        <f t="shared" si="15"/>
        <v>37</v>
      </c>
      <c r="H58">
        <f t="shared" ref="H58:L58" si="16">H55*H57</f>
        <v>34</v>
      </c>
      <c r="I58">
        <f t="shared" si="16"/>
        <v>31</v>
      </c>
      <c r="J58">
        <f t="shared" si="16"/>
        <v>28.5</v>
      </c>
      <c r="K58">
        <f t="shared" si="16"/>
        <v>25</v>
      </c>
      <c r="L58">
        <f t="shared" si="16"/>
        <v>23.5</v>
      </c>
      <c r="M58">
        <f>M55*M57</f>
        <v>22</v>
      </c>
      <c r="N58">
        <f>N55*N57</f>
        <v>22.5</v>
      </c>
      <c r="O58">
        <v>22.5</v>
      </c>
      <c r="P58">
        <f>P55*P57</f>
        <v>23</v>
      </c>
      <c r="Q58">
        <f>Q55*Q57</f>
        <v>23.5</v>
      </c>
      <c r="R58">
        <f>R55*R57</f>
        <v>24.5</v>
      </c>
      <c r="S58">
        <f>S55*S57</f>
        <v>26</v>
      </c>
      <c r="V58">
        <f t="shared" ref="V58:AF58" si="17">V55*V57</f>
        <v>27.5</v>
      </c>
      <c r="W58">
        <f t="shared" si="17"/>
        <v>28</v>
      </c>
      <c r="X58">
        <f t="shared" si="17"/>
        <v>28.5</v>
      </c>
      <c r="Y58">
        <f t="shared" si="17"/>
        <v>29.5</v>
      </c>
      <c r="Z58">
        <f t="shared" si="17"/>
        <v>30</v>
      </c>
      <c r="AA58">
        <f t="shared" si="17"/>
        <v>32.5</v>
      </c>
      <c r="AB58">
        <f t="shared" si="17"/>
        <v>32.5</v>
      </c>
      <c r="AC58">
        <f t="shared" si="17"/>
        <v>34</v>
      </c>
      <c r="AD58">
        <f t="shared" si="17"/>
        <v>37</v>
      </c>
      <c r="AF58">
        <f t="shared" si="17"/>
        <v>39</v>
      </c>
      <c r="AG58">
        <f t="shared" ref="AG58:BB58" si="18">AG55*AG57</f>
        <v>42.5</v>
      </c>
      <c r="AH58">
        <f t="shared" si="18"/>
        <v>42</v>
      </c>
      <c r="AI58">
        <f t="shared" si="18"/>
        <v>43.5</v>
      </c>
      <c r="AJ58">
        <f t="shared" si="18"/>
        <v>45</v>
      </c>
      <c r="AK58">
        <f t="shared" si="18"/>
        <v>46.5</v>
      </c>
      <c r="AL58">
        <f t="shared" si="18"/>
        <v>47</v>
      </c>
      <c r="AM58">
        <f t="shared" si="18"/>
        <v>48</v>
      </c>
      <c r="AN58">
        <f t="shared" si="18"/>
        <v>48</v>
      </c>
      <c r="AO58">
        <f t="shared" si="18"/>
        <v>50</v>
      </c>
      <c r="AP58">
        <f t="shared" si="18"/>
        <v>55.5</v>
      </c>
      <c r="AQ58">
        <f t="shared" si="18"/>
        <v>48.5</v>
      </c>
      <c r="AR58">
        <f t="shared" si="18"/>
        <v>46.5</v>
      </c>
      <c r="AS58">
        <f t="shared" si="18"/>
        <v>44.5</v>
      </c>
      <c r="AT58">
        <f t="shared" si="18"/>
        <v>42.5</v>
      </c>
      <c r="AU58">
        <f t="shared" si="18"/>
        <v>40</v>
      </c>
      <c r="AV58">
        <f t="shared" si="18"/>
        <v>48.5</v>
      </c>
      <c r="AW58">
        <f t="shared" si="18"/>
        <v>44.5</v>
      </c>
      <c r="AX58">
        <f t="shared" si="18"/>
        <v>43</v>
      </c>
      <c r="AY58">
        <f t="shared" si="18"/>
        <v>41.5</v>
      </c>
      <c r="AZ58">
        <f t="shared" si="18"/>
        <v>41.5</v>
      </c>
      <c r="BA58">
        <f t="shared" si="18"/>
        <v>39</v>
      </c>
      <c r="BB58">
        <f t="shared" si="18"/>
        <v>35.5</v>
      </c>
    </row>
    <row r="59" spans="1:55" x14ac:dyDescent="0.25">
      <c r="AN59"/>
      <c r="AO59"/>
      <c r="AP59"/>
      <c r="AQ59"/>
      <c r="AR59"/>
      <c r="AS59"/>
    </row>
    <row r="60" spans="1:55" x14ac:dyDescent="0.25">
      <c r="AN60"/>
      <c r="AO60"/>
      <c r="AP60"/>
      <c r="AQ60"/>
      <c r="AR60"/>
      <c r="AS60"/>
    </row>
    <row r="61" spans="1:55" x14ac:dyDescent="0.25">
      <c r="AM61" s="10"/>
      <c r="AS61"/>
    </row>
    <row r="62" spans="1:55" x14ac:dyDescent="0.25">
      <c r="A62" s="1"/>
      <c r="B62" s="2">
        <v>2023</v>
      </c>
      <c r="C62" s="1">
        <v>44933</v>
      </c>
      <c r="D62" s="1">
        <v>44940</v>
      </c>
      <c r="E62" s="1">
        <v>44947</v>
      </c>
      <c r="F62" s="1">
        <v>44954</v>
      </c>
      <c r="G62" s="1">
        <v>44961</v>
      </c>
      <c r="H62" s="1">
        <v>44968</v>
      </c>
      <c r="I62" s="1">
        <v>44975</v>
      </c>
      <c r="J62" s="1">
        <v>44982</v>
      </c>
      <c r="K62" s="1">
        <v>44989</v>
      </c>
      <c r="L62" s="1">
        <v>44996</v>
      </c>
      <c r="M62" s="1">
        <v>45003</v>
      </c>
      <c r="N62" s="1">
        <v>45010</v>
      </c>
      <c r="O62" s="1">
        <v>45017</v>
      </c>
      <c r="P62" s="1">
        <v>45024</v>
      </c>
      <c r="Q62" s="1">
        <v>45031</v>
      </c>
      <c r="R62" s="1">
        <v>45038</v>
      </c>
      <c r="S62" s="1">
        <v>45045</v>
      </c>
      <c r="T62" s="1">
        <v>45052</v>
      </c>
      <c r="U62" s="1">
        <v>45059</v>
      </c>
      <c r="V62" s="1">
        <v>45066</v>
      </c>
      <c r="W62" s="1">
        <v>45073</v>
      </c>
      <c r="X62" s="1">
        <v>45080</v>
      </c>
      <c r="Y62" s="1">
        <v>45087</v>
      </c>
      <c r="Z62" s="1">
        <v>45094</v>
      </c>
      <c r="AA62" s="1">
        <v>45101</v>
      </c>
      <c r="AB62" s="1">
        <v>45108</v>
      </c>
      <c r="AC62" s="1">
        <v>45115</v>
      </c>
      <c r="AD62" s="1">
        <v>45122</v>
      </c>
      <c r="AE62" s="1">
        <v>45129</v>
      </c>
      <c r="AF62" s="1">
        <v>45136</v>
      </c>
      <c r="AG62" s="1">
        <v>45143</v>
      </c>
      <c r="AH62" s="1">
        <v>45150</v>
      </c>
      <c r="AI62" s="1">
        <v>45157</v>
      </c>
      <c r="AJ62" s="1">
        <v>45164</v>
      </c>
      <c r="AK62" s="1">
        <v>45171</v>
      </c>
      <c r="AL62" s="1">
        <v>45178</v>
      </c>
      <c r="AM62" s="1">
        <v>45185</v>
      </c>
      <c r="AN62" s="1">
        <v>45192</v>
      </c>
      <c r="AO62" s="1">
        <v>45199</v>
      </c>
      <c r="AP62" s="1">
        <v>45206</v>
      </c>
      <c r="AQ62" s="1">
        <v>45213</v>
      </c>
      <c r="AR62" s="1">
        <v>45220</v>
      </c>
      <c r="AS62" s="1">
        <v>45227</v>
      </c>
      <c r="AT62" s="1">
        <v>45234</v>
      </c>
      <c r="AU62" s="1">
        <v>45241</v>
      </c>
      <c r="AV62" s="1">
        <v>45248</v>
      </c>
      <c r="AW62" s="1">
        <v>45255</v>
      </c>
      <c r="AX62" s="1">
        <v>45262</v>
      </c>
      <c r="AY62" s="1">
        <v>45269</v>
      </c>
      <c r="AZ62" s="1">
        <v>45276</v>
      </c>
      <c r="BA62" s="1">
        <v>45283</v>
      </c>
      <c r="BB62" s="1">
        <v>45290</v>
      </c>
    </row>
    <row r="63" spans="1:55" s="1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 s="10"/>
      <c r="AN63" s="10"/>
      <c r="AO63" s="10"/>
      <c r="AP63" s="10"/>
      <c r="AQ63" s="10"/>
      <c r="AR63" s="10"/>
      <c r="AS63"/>
      <c r="AT63"/>
      <c r="AU63"/>
      <c r="AV63"/>
      <c r="AW63"/>
      <c r="AX63"/>
      <c r="AY63"/>
      <c r="AZ63"/>
      <c r="BA63"/>
      <c r="BB63"/>
    </row>
    <row r="64" spans="1:55" s="1" customFormat="1" x14ac:dyDescent="0.25">
      <c r="A64" t="s">
        <v>0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 s="10"/>
      <c r="AN64" s="10"/>
      <c r="AO64" s="10"/>
      <c r="AP64" s="10"/>
      <c r="AQ64" s="10"/>
      <c r="AR64" s="10"/>
      <c r="AS64"/>
      <c r="AT64"/>
      <c r="AU64"/>
      <c r="AV64"/>
      <c r="AW64"/>
      <c r="AX64"/>
      <c r="AY64"/>
      <c r="AZ64"/>
      <c r="BA64"/>
      <c r="BB64"/>
      <c r="BC64" s="1">
        <v>44926</v>
      </c>
    </row>
    <row r="65" spans="1:55" s="1" customFormat="1" x14ac:dyDescent="0.25">
      <c r="A65"/>
      <c r="B65" t="s">
        <v>3</v>
      </c>
      <c r="C65">
        <v>1.7</v>
      </c>
      <c r="D65">
        <v>1.1000000000000001</v>
      </c>
      <c r="E65">
        <v>1.4</v>
      </c>
      <c r="F65">
        <v>0.9</v>
      </c>
      <c r="G65">
        <v>1.4</v>
      </c>
      <c r="H65">
        <v>1.3</v>
      </c>
      <c r="I65">
        <v>1.5</v>
      </c>
      <c r="J65">
        <v>1</v>
      </c>
      <c r="K65">
        <v>0.7</v>
      </c>
      <c r="L65">
        <v>1</v>
      </c>
      <c r="M65">
        <v>0.8</v>
      </c>
      <c r="N65">
        <v>0.9</v>
      </c>
      <c r="O65">
        <v>1.3</v>
      </c>
      <c r="P65">
        <v>1.6</v>
      </c>
      <c r="Q65">
        <v>1</v>
      </c>
      <c r="R65">
        <v>1.4</v>
      </c>
      <c r="S65">
        <v>1.7</v>
      </c>
      <c r="T65">
        <v>1.5</v>
      </c>
      <c r="U65">
        <v>1.9</v>
      </c>
      <c r="V65">
        <v>2</v>
      </c>
      <c r="W65">
        <v>2.1</v>
      </c>
      <c r="X65">
        <v>2.8</v>
      </c>
      <c r="Y65">
        <v>2.6</v>
      </c>
      <c r="Z65">
        <v>1.6</v>
      </c>
      <c r="AA65">
        <v>2.9</v>
      </c>
      <c r="AB65">
        <v>2.7</v>
      </c>
      <c r="AC65">
        <v>2.7</v>
      </c>
      <c r="AD65">
        <v>2.2999999999999998</v>
      </c>
      <c r="AE65">
        <v>2.4</v>
      </c>
      <c r="AF65">
        <v>2.6</v>
      </c>
      <c r="AG65">
        <v>3.1</v>
      </c>
      <c r="AH65">
        <v>3</v>
      </c>
      <c r="AI65">
        <v>3.2</v>
      </c>
      <c r="AJ65">
        <v>3.2</v>
      </c>
      <c r="AK65">
        <v>3.9</v>
      </c>
      <c r="AL65">
        <v>4.2</v>
      </c>
      <c r="AM65">
        <v>4.8</v>
      </c>
      <c r="AN65">
        <v>4.5</v>
      </c>
      <c r="AO65">
        <v>5.6</v>
      </c>
      <c r="AP65">
        <v>6.7</v>
      </c>
      <c r="AQ65">
        <v>7.2</v>
      </c>
      <c r="AR65">
        <v>7.4</v>
      </c>
      <c r="AS65">
        <v>7.6</v>
      </c>
      <c r="AT65">
        <v>7.7</v>
      </c>
      <c r="AU65">
        <v>7.5</v>
      </c>
      <c r="AV65">
        <v>8</v>
      </c>
      <c r="AW65">
        <v>7.5</v>
      </c>
      <c r="AX65">
        <v>8.1</v>
      </c>
      <c r="AY65">
        <v>7.5</v>
      </c>
      <c r="AZ65">
        <v>7.3</v>
      </c>
      <c r="BA65">
        <v>7.6</v>
      </c>
      <c r="BB65"/>
    </row>
    <row r="66" spans="1:55" x14ac:dyDescent="0.25">
      <c r="B66" t="s">
        <v>11</v>
      </c>
      <c r="C66">
        <v>3.4</v>
      </c>
      <c r="D66">
        <v>3.9</v>
      </c>
      <c r="E66">
        <v>3.4</v>
      </c>
      <c r="F66">
        <v>3.6</v>
      </c>
      <c r="G66">
        <v>2.8</v>
      </c>
      <c r="H66">
        <v>1.6</v>
      </c>
      <c r="I66">
        <v>1.1000000000000001</v>
      </c>
      <c r="J66">
        <v>1.3</v>
      </c>
      <c r="K66">
        <v>1.5</v>
      </c>
      <c r="L66">
        <v>1.5</v>
      </c>
      <c r="M66">
        <v>1.2</v>
      </c>
      <c r="N66">
        <v>1</v>
      </c>
      <c r="O66">
        <v>0.7</v>
      </c>
      <c r="P66">
        <v>0.7</v>
      </c>
      <c r="Q66">
        <v>1.6</v>
      </c>
      <c r="R66">
        <v>1.6</v>
      </c>
      <c r="S66">
        <v>1.7</v>
      </c>
      <c r="T66">
        <v>1.5</v>
      </c>
      <c r="U66">
        <v>1.4</v>
      </c>
      <c r="V66">
        <v>1.5</v>
      </c>
      <c r="W66">
        <v>2.7</v>
      </c>
      <c r="X66">
        <v>1.4</v>
      </c>
      <c r="Y66">
        <v>1.8</v>
      </c>
      <c r="Z66">
        <v>3.1</v>
      </c>
      <c r="AA66">
        <v>1.3</v>
      </c>
      <c r="AB66">
        <v>1.5</v>
      </c>
      <c r="AC66">
        <v>1.9</v>
      </c>
      <c r="AD66">
        <v>2</v>
      </c>
      <c r="AE66">
        <v>2.7</v>
      </c>
      <c r="AF66">
        <v>2.5</v>
      </c>
      <c r="AG66">
        <v>2.5</v>
      </c>
      <c r="AH66">
        <v>2.5</v>
      </c>
      <c r="AI66">
        <v>2.7</v>
      </c>
      <c r="AJ66">
        <v>2.8</v>
      </c>
      <c r="AK66">
        <v>3.1</v>
      </c>
      <c r="AL66">
        <v>2.9</v>
      </c>
      <c r="AM66">
        <v>2.9</v>
      </c>
      <c r="AN66">
        <v>4.4000000000000004</v>
      </c>
      <c r="AO66">
        <v>5.0999999999999996</v>
      </c>
      <c r="AP66">
        <v>4.8</v>
      </c>
      <c r="AQ66">
        <v>4.5</v>
      </c>
      <c r="AR66">
        <v>5.4</v>
      </c>
      <c r="AS66">
        <v>5</v>
      </c>
      <c r="AT66">
        <v>4.5</v>
      </c>
      <c r="AU66">
        <v>4.5999999999999996</v>
      </c>
      <c r="AV66">
        <v>4.3</v>
      </c>
      <c r="AW66">
        <v>4.5</v>
      </c>
      <c r="AX66">
        <v>3.8</v>
      </c>
      <c r="AY66">
        <v>4.3</v>
      </c>
      <c r="AZ66">
        <v>4.3</v>
      </c>
      <c r="BA66">
        <v>3.9</v>
      </c>
    </row>
    <row r="67" spans="1:55" x14ac:dyDescent="0.25">
      <c r="B67" t="s">
        <v>5</v>
      </c>
      <c r="C67">
        <v>5.0999999999999996</v>
      </c>
      <c r="D67">
        <v>5</v>
      </c>
      <c r="E67">
        <v>4.8</v>
      </c>
      <c r="F67">
        <v>4.5</v>
      </c>
      <c r="G67">
        <v>4.2</v>
      </c>
      <c r="H67">
        <v>2.9</v>
      </c>
      <c r="I67">
        <v>2.6</v>
      </c>
      <c r="J67">
        <v>2.2999999999999998</v>
      </c>
      <c r="K67">
        <v>2.2000000000000002</v>
      </c>
      <c r="L67">
        <v>2.5</v>
      </c>
      <c r="M67">
        <v>2</v>
      </c>
      <c r="N67">
        <v>1.9</v>
      </c>
      <c r="O67">
        <v>2</v>
      </c>
      <c r="P67">
        <v>2.4</v>
      </c>
      <c r="Q67">
        <v>2.6</v>
      </c>
      <c r="R67">
        <v>3</v>
      </c>
      <c r="S67">
        <v>3.4</v>
      </c>
      <c r="T67">
        <v>3</v>
      </c>
      <c r="U67">
        <v>3.3</v>
      </c>
      <c r="V67">
        <v>3.5</v>
      </c>
      <c r="W67">
        <v>4.8</v>
      </c>
      <c r="X67">
        <v>4.2</v>
      </c>
      <c r="Y67">
        <v>4.4000000000000004</v>
      </c>
      <c r="Z67">
        <v>4.7</v>
      </c>
      <c r="AA67">
        <v>4.2</v>
      </c>
      <c r="AB67">
        <v>4.2</v>
      </c>
      <c r="AC67">
        <v>4.5999999999999996</v>
      </c>
      <c r="AD67">
        <v>4.3</v>
      </c>
      <c r="AE67">
        <v>5.0999999999999996</v>
      </c>
      <c r="AF67">
        <v>5.0999999999999996</v>
      </c>
      <c r="AG67">
        <v>5.6</v>
      </c>
      <c r="AH67">
        <v>5.5</v>
      </c>
      <c r="AI67">
        <v>5.9</v>
      </c>
      <c r="AJ67">
        <v>6</v>
      </c>
      <c r="AK67">
        <v>7</v>
      </c>
      <c r="AL67">
        <v>7.1</v>
      </c>
      <c r="AM67">
        <v>7.7</v>
      </c>
      <c r="AN67">
        <v>8.9</v>
      </c>
      <c r="AO67">
        <v>10.7</v>
      </c>
      <c r="AP67">
        <v>11.5</v>
      </c>
      <c r="AQ67">
        <v>11.7</v>
      </c>
      <c r="AR67">
        <v>12.8</v>
      </c>
      <c r="AS67">
        <v>12.6</v>
      </c>
      <c r="AT67">
        <v>12.2</v>
      </c>
      <c r="AU67">
        <v>12.1</v>
      </c>
      <c r="AV67">
        <v>12.3</v>
      </c>
      <c r="AW67">
        <v>12</v>
      </c>
      <c r="AX67">
        <v>11.9</v>
      </c>
      <c r="AY67">
        <v>11.8</v>
      </c>
      <c r="AZ67">
        <v>11.6</v>
      </c>
      <c r="BA67">
        <v>11.5</v>
      </c>
      <c r="BC67">
        <v>1.6</v>
      </c>
    </row>
    <row r="68" spans="1:55" x14ac:dyDescent="0.25">
      <c r="AN68"/>
      <c r="AO68"/>
      <c r="AP68"/>
      <c r="AQ68"/>
      <c r="AR68"/>
      <c r="AS68"/>
      <c r="BC68">
        <v>3.2</v>
      </c>
    </row>
    <row r="69" spans="1:55" x14ac:dyDescent="0.25">
      <c r="B69" t="s">
        <v>2</v>
      </c>
      <c r="C69">
        <v>2</v>
      </c>
      <c r="D69">
        <v>2</v>
      </c>
      <c r="E69">
        <v>2</v>
      </c>
      <c r="F69">
        <v>2</v>
      </c>
      <c r="G69">
        <v>2</v>
      </c>
      <c r="H69">
        <v>2</v>
      </c>
      <c r="I69">
        <v>2</v>
      </c>
      <c r="J69">
        <v>2</v>
      </c>
      <c r="K69">
        <v>2</v>
      </c>
      <c r="L69">
        <v>2</v>
      </c>
      <c r="M69">
        <v>2</v>
      </c>
      <c r="N69">
        <v>2</v>
      </c>
      <c r="O69">
        <v>2</v>
      </c>
      <c r="P69">
        <v>2</v>
      </c>
      <c r="Q69">
        <v>2</v>
      </c>
      <c r="R69">
        <v>2</v>
      </c>
      <c r="S69">
        <v>2</v>
      </c>
      <c r="T69">
        <v>2</v>
      </c>
      <c r="U69">
        <v>2</v>
      </c>
      <c r="V69">
        <v>2</v>
      </c>
      <c r="W69">
        <v>2</v>
      </c>
      <c r="X69">
        <v>2</v>
      </c>
      <c r="Y69">
        <v>2</v>
      </c>
      <c r="Z69">
        <v>2</v>
      </c>
      <c r="AA69">
        <v>2</v>
      </c>
      <c r="AB69">
        <v>2</v>
      </c>
      <c r="AC69">
        <v>2</v>
      </c>
      <c r="AD69">
        <v>2</v>
      </c>
      <c r="AE69">
        <v>2</v>
      </c>
      <c r="AF69">
        <v>2</v>
      </c>
      <c r="AG69">
        <v>2</v>
      </c>
      <c r="AH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2</v>
      </c>
      <c r="AT69">
        <v>2</v>
      </c>
      <c r="AU69">
        <v>2</v>
      </c>
      <c r="AV69">
        <v>2</v>
      </c>
      <c r="AW69">
        <v>2</v>
      </c>
      <c r="AX69">
        <v>2</v>
      </c>
      <c r="AY69">
        <v>2</v>
      </c>
      <c r="AZ69">
        <v>2</v>
      </c>
      <c r="BA69">
        <v>2</v>
      </c>
      <c r="BC69">
        <v>4.8</v>
      </c>
    </row>
    <row r="70" spans="1:55" x14ac:dyDescent="0.25">
      <c r="C70">
        <f>C67*C69</f>
        <v>10.199999999999999</v>
      </c>
      <c r="D70">
        <f t="shared" ref="D70:G70" si="19">D67*D69</f>
        <v>10</v>
      </c>
      <c r="E70">
        <f t="shared" si="19"/>
        <v>9.6</v>
      </c>
      <c r="F70">
        <f t="shared" si="19"/>
        <v>9</v>
      </c>
      <c r="G70">
        <f t="shared" si="19"/>
        <v>8.4</v>
      </c>
      <c r="H70">
        <f t="shared" ref="H70:L70" si="20">H67*H69</f>
        <v>5.8</v>
      </c>
      <c r="I70">
        <f t="shared" si="20"/>
        <v>5.2</v>
      </c>
      <c r="J70">
        <f t="shared" si="20"/>
        <v>4.5999999999999996</v>
      </c>
      <c r="K70">
        <f t="shared" si="20"/>
        <v>4.4000000000000004</v>
      </c>
      <c r="L70">
        <f t="shared" si="20"/>
        <v>5</v>
      </c>
      <c r="M70">
        <f t="shared" ref="M70:Q70" si="21">M67*M69</f>
        <v>4</v>
      </c>
      <c r="N70">
        <f t="shared" si="21"/>
        <v>3.8</v>
      </c>
      <c r="O70">
        <f t="shared" si="21"/>
        <v>4</v>
      </c>
      <c r="P70">
        <f t="shared" si="21"/>
        <v>4.8</v>
      </c>
      <c r="Q70">
        <f t="shared" si="21"/>
        <v>5.2</v>
      </c>
      <c r="R70">
        <f t="shared" ref="R70:V70" si="22">R67*R69</f>
        <v>6</v>
      </c>
      <c r="S70">
        <f t="shared" si="22"/>
        <v>6.8</v>
      </c>
      <c r="T70">
        <f t="shared" si="22"/>
        <v>6</v>
      </c>
      <c r="U70">
        <f t="shared" si="22"/>
        <v>6.6</v>
      </c>
      <c r="V70">
        <f t="shared" si="22"/>
        <v>7</v>
      </c>
      <c r="W70">
        <f>W67*W69</f>
        <v>9.6</v>
      </c>
      <c r="X70">
        <f>X67*X69</f>
        <v>8.4</v>
      </c>
      <c r="Y70">
        <f>Y67*Y69</f>
        <v>8.8000000000000007</v>
      </c>
      <c r="Z70">
        <f>Z67*Z69</f>
        <v>9.4</v>
      </c>
      <c r="AA70">
        <f>AA67*AA69</f>
        <v>8.4</v>
      </c>
      <c r="AB70">
        <v>8.4</v>
      </c>
      <c r="AC70">
        <f t="shared" ref="AC70:AG70" si="23">AC67*AC69</f>
        <v>9.1999999999999993</v>
      </c>
      <c r="AD70">
        <f t="shared" si="23"/>
        <v>8.6</v>
      </c>
      <c r="AE70">
        <f t="shared" si="23"/>
        <v>10.199999999999999</v>
      </c>
      <c r="AF70">
        <f t="shared" si="23"/>
        <v>10.199999999999999</v>
      </c>
      <c r="AG70">
        <f t="shared" si="23"/>
        <v>11.2</v>
      </c>
      <c r="AH70">
        <f t="shared" ref="AH70:AL70" si="24">AH67*AH69</f>
        <v>11</v>
      </c>
      <c r="AI70">
        <f t="shared" si="24"/>
        <v>11.8</v>
      </c>
      <c r="AJ70">
        <f t="shared" si="24"/>
        <v>12</v>
      </c>
      <c r="AK70">
        <f t="shared" si="24"/>
        <v>14</v>
      </c>
      <c r="AL70">
        <f t="shared" si="24"/>
        <v>14.2</v>
      </c>
      <c r="AM70">
        <f t="shared" ref="AM70:AQ70" si="25">AM67*AM69</f>
        <v>15.4</v>
      </c>
      <c r="AN70">
        <f t="shared" si="25"/>
        <v>17.8</v>
      </c>
      <c r="AO70">
        <f t="shared" si="25"/>
        <v>21.4</v>
      </c>
      <c r="AP70">
        <f t="shared" si="25"/>
        <v>23</v>
      </c>
      <c r="AQ70">
        <f t="shared" si="25"/>
        <v>23.4</v>
      </c>
      <c r="AR70">
        <f t="shared" ref="AR70:AV70" si="26">AR67*AR69</f>
        <v>25.6</v>
      </c>
      <c r="AS70">
        <f t="shared" si="26"/>
        <v>25.2</v>
      </c>
      <c r="AT70">
        <f t="shared" si="26"/>
        <v>24.4</v>
      </c>
      <c r="AU70">
        <f t="shared" si="26"/>
        <v>24.2</v>
      </c>
      <c r="AV70">
        <f t="shared" si="26"/>
        <v>24.6</v>
      </c>
      <c r="AW70">
        <f>AW67*AW69</f>
        <v>24</v>
      </c>
      <c r="AX70">
        <f>AX67*AX69</f>
        <v>23.8</v>
      </c>
      <c r="AY70">
        <f>AY67*AY69</f>
        <v>23.6</v>
      </c>
      <c r="AZ70">
        <f>AZ67*AZ69</f>
        <v>23.2</v>
      </c>
      <c r="BA70">
        <f>BA67*BA69</f>
        <v>23</v>
      </c>
    </row>
    <row r="71" spans="1:55" x14ac:dyDescent="0.25">
      <c r="AM71" s="10"/>
      <c r="AS71"/>
      <c r="BC71">
        <v>2</v>
      </c>
    </row>
    <row r="72" spans="1:55" x14ac:dyDescent="0.25">
      <c r="A72" t="s">
        <v>1</v>
      </c>
      <c r="AM72" s="10"/>
      <c r="AS72"/>
      <c r="BC72">
        <f>+BC69*BC71</f>
        <v>9.6</v>
      </c>
    </row>
    <row r="73" spans="1:55" x14ac:dyDescent="0.25">
      <c r="B73" t="s">
        <v>3</v>
      </c>
      <c r="C73">
        <v>3.8</v>
      </c>
      <c r="D73">
        <v>1.7</v>
      </c>
      <c r="E73">
        <v>2</v>
      </c>
      <c r="F73">
        <v>1.9</v>
      </c>
      <c r="G73">
        <v>1.7</v>
      </c>
      <c r="H73">
        <v>1.6</v>
      </c>
      <c r="I73">
        <v>1.5</v>
      </c>
      <c r="J73">
        <v>2.1</v>
      </c>
      <c r="K73">
        <v>2.1</v>
      </c>
      <c r="L73">
        <v>2</v>
      </c>
      <c r="M73">
        <v>1.6</v>
      </c>
      <c r="N73">
        <v>1.7</v>
      </c>
      <c r="O73">
        <v>1.8</v>
      </c>
      <c r="P73">
        <v>2</v>
      </c>
      <c r="Q73">
        <v>1.8</v>
      </c>
      <c r="R73">
        <v>1.9</v>
      </c>
      <c r="S73">
        <v>2</v>
      </c>
      <c r="T73">
        <v>1.9</v>
      </c>
      <c r="U73">
        <v>1.7</v>
      </c>
      <c r="V73">
        <v>2</v>
      </c>
      <c r="W73">
        <v>2</v>
      </c>
      <c r="X73">
        <v>2</v>
      </c>
      <c r="Y73">
        <v>2.1</v>
      </c>
      <c r="Z73">
        <v>2</v>
      </c>
      <c r="AA73">
        <v>2.1</v>
      </c>
      <c r="AB73">
        <v>2</v>
      </c>
      <c r="AC73">
        <v>2.1</v>
      </c>
      <c r="AD73">
        <v>1.9</v>
      </c>
      <c r="AE73">
        <v>2.4</v>
      </c>
      <c r="AF73">
        <v>3.3</v>
      </c>
      <c r="AG73">
        <v>3.6</v>
      </c>
      <c r="AH73">
        <v>3.6</v>
      </c>
      <c r="AI73">
        <v>3.4</v>
      </c>
      <c r="AJ73">
        <v>3.4</v>
      </c>
      <c r="AK73">
        <v>4.8</v>
      </c>
      <c r="AL73">
        <v>5.0999999999999996</v>
      </c>
      <c r="AM73">
        <v>5.5</v>
      </c>
      <c r="AN73">
        <v>5</v>
      </c>
      <c r="AO73">
        <v>6.1</v>
      </c>
      <c r="AP73">
        <v>6.7</v>
      </c>
      <c r="AQ73">
        <v>6.8</v>
      </c>
      <c r="AR73">
        <v>7.5</v>
      </c>
      <c r="AS73">
        <v>7.6</v>
      </c>
      <c r="AT73">
        <v>7.6</v>
      </c>
      <c r="AU73">
        <v>7.8</v>
      </c>
      <c r="AV73">
        <v>7.6</v>
      </c>
      <c r="AW73">
        <v>7.3</v>
      </c>
      <c r="AX73">
        <v>7.7</v>
      </c>
      <c r="AY73">
        <v>7.5</v>
      </c>
      <c r="AZ73">
        <v>7</v>
      </c>
      <c r="BA73">
        <v>6.8</v>
      </c>
    </row>
    <row r="74" spans="1:55" x14ac:dyDescent="0.25">
      <c r="B74" t="s">
        <v>11</v>
      </c>
      <c r="C74">
        <v>2.2999999999999998</v>
      </c>
      <c r="D74">
        <v>4.3</v>
      </c>
      <c r="E74">
        <v>3.4</v>
      </c>
      <c r="F74">
        <v>3</v>
      </c>
      <c r="G74">
        <v>3.1</v>
      </c>
      <c r="H74">
        <v>2.6</v>
      </c>
      <c r="I74">
        <v>2.6</v>
      </c>
      <c r="J74">
        <v>2.5</v>
      </c>
      <c r="K74">
        <v>2.4</v>
      </c>
      <c r="L74">
        <v>2.1</v>
      </c>
      <c r="M74">
        <v>2.2999999999999998</v>
      </c>
      <c r="N74">
        <v>1.6</v>
      </c>
      <c r="O74">
        <v>1.3</v>
      </c>
      <c r="P74">
        <v>2.7</v>
      </c>
      <c r="Q74">
        <v>1.4</v>
      </c>
      <c r="R74">
        <v>1.3</v>
      </c>
      <c r="S74">
        <v>1.5</v>
      </c>
      <c r="T74">
        <v>1.4</v>
      </c>
      <c r="U74">
        <v>1.4</v>
      </c>
      <c r="V74">
        <v>1.9</v>
      </c>
      <c r="W74">
        <v>1.5</v>
      </c>
      <c r="X74">
        <v>1.4</v>
      </c>
      <c r="Y74">
        <v>1.4</v>
      </c>
      <c r="Z74">
        <v>1.6</v>
      </c>
      <c r="AA74">
        <v>1.3</v>
      </c>
      <c r="AB74">
        <v>1.6</v>
      </c>
      <c r="AC74">
        <v>1.7</v>
      </c>
      <c r="AD74">
        <v>2</v>
      </c>
      <c r="AE74">
        <v>2.2999999999999998</v>
      </c>
      <c r="AF74">
        <v>2.2000000000000002</v>
      </c>
      <c r="AG74">
        <v>2.2000000000000002</v>
      </c>
      <c r="AH74">
        <v>2.4</v>
      </c>
      <c r="AI74">
        <v>3.2</v>
      </c>
      <c r="AJ74">
        <v>3.8</v>
      </c>
      <c r="AK74">
        <v>2.8</v>
      </c>
      <c r="AL74">
        <v>2.7</v>
      </c>
      <c r="AM74">
        <v>3.1</v>
      </c>
      <c r="AN74">
        <v>3.8</v>
      </c>
      <c r="AO74">
        <v>3.2</v>
      </c>
      <c r="AP74">
        <v>3.4</v>
      </c>
      <c r="AQ74">
        <v>3.6</v>
      </c>
      <c r="AR74">
        <v>3.9</v>
      </c>
      <c r="AS74">
        <v>3.9</v>
      </c>
      <c r="AT74">
        <v>3.4</v>
      </c>
      <c r="AU74">
        <v>3.4</v>
      </c>
      <c r="AV74">
        <v>3.2</v>
      </c>
      <c r="AW74">
        <v>3</v>
      </c>
      <c r="AX74">
        <v>2.9</v>
      </c>
      <c r="AY74">
        <v>2.8</v>
      </c>
      <c r="AZ74">
        <v>3.4</v>
      </c>
      <c r="BA74">
        <v>3.2</v>
      </c>
    </row>
    <row r="75" spans="1:55" x14ac:dyDescent="0.25">
      <c r="B75" t="s">
        <v>5</v>
      </c>
      <c r="C75">
        <v>6.1</v>
      </c>
      <c r="D75">
        <v>6</v>
      </c>
      <c r="E75">
        <v>5.4</v>
      </c>
      <c r="F75">
        <v>4.9000000000000004</v>
      </c>
      <c r="G75">
        <v>4.8</v>
      </c>
      <c r="H75">
        <v>4.2</v>
      </c>
      <c r="I75">
        <v>4.0999999999999996</v>
      </c>
      <c r="J75">
        <v>4.5999999999999996</v>
      </c>
      <c r="K75">
        <v>4.5</v>
      </c>
      <c r="L75">
        <v>4.0999999999999996</v>
      </c>
      <c r="M75">
        <v>3.9</v>
      </c>
      <c r="N75">
        <v>3.3</v>
      </c>
      <c r="O75">
        <v>3.1</v>
      </c>
      <c r="P75">
        <v>2.7</v>
      </c>
      <c r="Q75">
        <v>3.2</v>
      </c>
      <c r="R75">
        <v>3.2</v>
      </c>
      <c r="S75">
        <v>3.5</v>
      </c>
      <c r="T75">
        <v>3.3</v>
      </c>
      <c r="U75">
        <v>3.1</v>
      </c>
      <c r="V75">
        <v>3.9</v>
      </c>
      <c r="W75">
        <v>3.5</v>
      </c>
      <c r="X75">
        <v>3.4</v>
      </c>
      <c r="Y75">
        <v>3.5</v>
      </c>
      <c r="Z75">
        <v>3.6</v>
      </c>
      <c r="AA75">
        <v>3.4</v>
      </c>
      <c r="AB75">
        <v>3.6</v>
      </c>
      <c r="AC75">
        <v>3.8</v>
      </c>
      <c r="AD75">
        <v>3.9</v>
      </c>
      <c r="AE75">
        <v>4.7</v>
      </c>
      <c r="AF75">
        <v>5.5</v>
      </c>
      <c r="AG75">
        <v>5.8</v>
      </c>
      <c r="AH75">
        <v>6</v>
      </c>
      <c r="AI75">
        <v>6.6</v>
      </c>
      <c r="AJ75">
        <v>7.2</v>
      </c>
      <c r="AK75">
        <v>7.6</v>
      </c>
      <c r="AL75">
        <v>7.8</v>
      </c>
      <c r="AM75">
        <v>8.6</v>
      </c>
      <c r="AN75">
        <v>8.8000000000000007</v>
      </c>
      <c r="AO75">
        <v>9.3000000000000007</v>
      </c>
      <c r="AP75">
        <v>10.1</v>
      </c>
      <c r="AQ75">
        <v>10.4</v>
      </c>
      <c r="AR75">
        <v>11.4</v>
      </c>
      <c r="AS75">
        <v>11.5</v>
      </c>
      <c r="AT75">
        <v>11</v>
      </c>
      <c r="AU75">
        <v>11.2</v>
      </c>
      <c r="AV75">
        <v>10.8</v>
      </c>
      <c r="AW75">
        <v>10.3</v>
      </c>
      <c r="AX75">
        <v>10.6</v>
      </c>
      <c r="AY75">
        <v>10.3</v>
      </c>
      <c r="AZ75">
        <v>10.4</v>
      </c>
      <c r="BA75">
        <v>10</v>
      </c>
      <c r="BC75">
        <v>2.2000000000000002</v>
      </c>
    </row>
    <row r="76" spans="1:55" x14ac:dyDescent="0.25">
      <c r="AN76"/>
      <c r="AO76"/>
      <c r="AP76"/>
      <c r="AQ76"/>
      <c r="AR76"/>
      <c r="AS76"/>
      <c r="BC76">
        <v>2.8</v>
      </c>
    </row>
    <row r="77" spans="1:55" x14ac:dyDescent="0.25">
      <c r="B77" t="s">
        <v>2</v>
      </c>
      <c r="C77">
        <v>4</v>
      </c>
      <c r="D77">
        <v>4</v>
      </c>
      <c r="E77">
        <v>4</v>
      </c>
      <c r="F77">
        <v>4</v>
      </c>
      <c r="G77">
        <v>4</v>
      </c>
      <c r="H77">
        <v>4</v>
      </c>
      <c r="I77">
        <v>4</v>
      </c>
      <c r="J77">
        <v>4</v>
      </c>
      <c r="K77">
        <v>4</v>
      </c>
      <c r="L77">
        <v>4</v>
      </c>
      <c r="M77">
        <v>4</v>
      </c>
      <c r="N77">
        <v>4</v>
      </c>
      <c r="O77">
        <v>4</v>
      </c>
      <c r="P77">
        <v>4</v>
      </c>
      <c r="Q77">
        <v>4</v>
      </c>
      <c r="R77">
        <v>4</v>
      </c>
      <c r="S77">
        <v>4</v>
      </c>
      <c r="T77">
        <v>4</v>
      </c>
      <c r="U77">
        <v>4</v>
      </c>
      <c r="V77">
        <v>4</v>
      </c>
      <c r="W77">
        <v>4</v>
      </c>
      <c r="X77">
        <v>4</v>
      </c>
      <c r="Y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4</v>
      </c>
      <c r="AH77">
        <v>4</v>
      </c>
      <c r="AI77">
        <v>4</v>
      </c>
      <c r="AJ77">
        <v>4</v>
      </c>
      <c r="AK77">
        <v>4</v>
      </c>
      <c r="AL77">
        <v>4</v>
      </c>
      <c r="AM77">
        <v>4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U77">
        <v>4</v>
      </c>
      <c r="AV77">
        <v>4</v>
      </c>
      <c r="AW77">
        <v>4</v>
      </c>
      <c r="AX77">
        <v>4</v>
      </c>
      <c r="AY77">
        <v>4</v>
      </c>
      <c r="AZ77">
        <v>4</v>
      </c>
      <c r="BA77">
        <v>4</v>
      </c>
      <c r="BC77">
        <v>5</v>
      </c>
    </row>
    <row r="78" spans="1:55" x14ac:dyDescent="0.25">
      <c r="C78">
        <f t="shared" ref="C78:G78" si="27">C75*C77</f>
        <v>24.4</v>
      </c>
      <c r="D78">
        <f t="shared" si="27"/>
        <v>24</v>
      </c>
      <c r="E78">
        <f t="shared" si="27"/>
        <v>21.6</v>
      </c>
      <c r="F78">
        <f t="shared" si="27"/>
        <v>19.600000000000001</v>
      </c>
      <c r="G78">
        <f t="shared" si="27"/>
        <v>19.2</v>
      </c>
      <c r="H78">
        <f t="shared" ref="H78:L78" si="28">H75*H77</f>
        <v>16.8</v>
      </c>
      <c r="I78">
        <f t="shared" si="28"/>
        <v>16.399999999999999</v>
      </c>
      <c r="J78">
        <f t="shared" si="28"/>
        <v>18.399999999999999</v>
      </c>
      <c r="K78">
        <f t="shared" si="28"/>
        <v>18</v>
      </c>
      <c r="L78">
        <f t="shared" si="28"/>
        <v>16.399999999999999</v>
      </c>
      <c r="M78">
        <f t="shared" ref="M78:Q78" si="29">M75*M77</f>
        <v>15.6</v>
      </c>
      <c r="N78">
        <f t="shared" si="29"/>
        <v>13.2</v>
      </c>
      <c r="O78">
        <f t="shared" si="29"/>
        <v>12.4</v>
      </c>
      <c r="P78">
        <f t="shared" si="29"/>
        <v>10.8</v>
      </c>
      <c r="Q78">
        <f t="shared" si="29"/>
        <v>12.8</v>
      </c>
      <c r="R78">
        <f t="shared" ref="R78:V78" si="30">R75*R77</f>
        <v>12.8</v>
      </c>
      <c r="S78">
        <f t="shared" si="30"/>
        <v>14</v>
      </c>
      <c r="T78">
        <f t="shared" si="30"/>
        <v>13.2</v>
      </c>
      <c r="U78">
        <f t="shared" si="30"/>
        <v>12.4</v>
      </c>
      <c r="V78">
        <f t="shared" si="30"/>
        <v>15.6</v>
      </c>
      <c r="W78">
        <f t="shared" ref="W78:AA78" si="31">W75*W77</f>
        <v>14</v>
      </c>
      <c r="X78">
        <f t="shared" si="31"/>
        <v>13.6</v>
      </c>
      <c r="Y78">
        <f t="shared" si="31"/>
        <v>14</v>
      </c>
      <c r="Z78">
        <f t="shared" si="31"/>
        <v>14.4</v>
      </c>
      <c r="AA78">
        <f t="shared" si="31"/>
        <v>13.6</v>
      </c>
      <c r="AB78">
        <f t="shared" ref="AB78:AF78" si="32">AB75*AB77</f>
        <v>14.4</v>
      </c>
      <c r="AC78">
        <f t="shared" si="32"/>
        <v>15.2</v>
      </c>
      <c r="AD78">
        <f t="shared" si="32"/>
        <v>15.6</v>
      </c>
      <c r="AE78">
        <f t="shared" si="32"/>
        <v>18.8</v>
      </c>
      <c r="AF78">
        <f t="shared" si="32"/>
        <v>22</v>
      </c>
      <c r="AG78">
        <f t="shared" ref="AG78:AK78" si="33">AG75*AG77</f>
        <v>23.2</v>
      </c>
      <c r="AH78">
        <f t="shared" si="33"/>
        <v>24</v>
      </c>
      <c r="AI78">
        <f t="shared" si="33"/>
        <v>26.4</v>
      </c>
      <c r="AJ78">
        <f t="shared" si="33"/>
        <v>28.8</v>
      </c>
      <c r="AK78">
        <f t="shared" si="33"/>
        <v>30.4</v>
      </c>
      <c r="AL78">
        <f t="shared" ref="AL78:AP78" si="34">AL75*AL77</f>
        <v>31.2</v>
      </c>
      <c r="AM78">
        <f t="shared" si="34"/>
        <v>34.4</v>
      </c>
      <c r="AN78">
        <f t="shared" si="34"/>
        <v>35.200000000000003</v>
      </c>
      <c r="AO78">
        <f t="shared" si="34"/>
        <v>37.200000000000003</v>
      </c>
      <c r="AP78">
        <f t="shared" si="34"/>
        <v>40.4</v>
      </c>
      <c r="AQ78">
        <f t="shared" ref="AQ78:AU78" si="35">AQ75*AQ77</f>
        <v>41.6</v>
      </c>
      <c r="AR78">
        <f t="shared" si="35"/>
        <v>45.6</v>
      </c>
      <c r="AS78">
        <f t="shared" si="35"/>
        <v>46</v>
      </c>
      <c r="AT78">
        <f t="shared" si="35"/>
        <v>44</v>
      </c>
      <c r="AU78">
        <f t="shared" si="35"/>
        <v>44.8</v>
      </c>
      <c r="AV78">
        <f t="shared" ref="AV78:BA78" si="36">AV75*AV77</f>
        <v>43.2</v>
      </c>
      <c r="AW78">
        <f t="shared" si="36"/>
        <v>41.2</v>
      </c>
      <c r="AX78">
        <f t="shared" si="36"/>
        <v>42.4</v>
      </c>
      <c r="AY78">
        <f t="shared" si="36"/>
        <v>41.2</v>
      </c>
      <c r="AZ78">
        <f t="shared" si="36"/>
        <v>41.6</v>
      </c>
      <c r="BA78">
        <f t="shared" si="36"/>
        <v>40</v>
      </c>
    </row>
    <row r="79" spans="1:55" x14ac:dyDescent="0.25">
      <c r="F79" t="s">
        <v>10</v>
      </c>
      <c r="AM79" s="10"/>
      <c r="AS79"/>
      <c r="BC79">
        <v>5</v>
      </c>
    </row>
    <row r="80" spans="1:55" x14ac:dyDescent="0.25">
      <c r="AM80" s="10"/>
      <c r="AS80"/>
      <c r="BC80">
        <f>+BC77*BC79</f>
        <v>25</v>
      </c>
    </row>
    <row r="81" spans="1:54" x14ac:dyDescent="0.25">
      <c r="AM81" s="10"/>
      <c r="AS81"/>
      <c r="BB81" s="1"/>
    </row>
    <row r="82" spans="1:54" x14ac:dyDescent="0.25">
      <c r="A82" s="1"/>
      <c r="B82" s="2">
        <v>2022</v>
      </c>
      <c r="C82" s="1">
        <v>44562</v>
      </c>
      <c r="D82" s="1">
        <v>44569</v>
      </c>
      <c r="E82" s="1">
        <v>44576</v>
      </c>
      <c r="F82" s="1">
        <v>44583</v>
      </c>
      <c r="G82" s="1">
        <v>44590</v>
      </c>
      <c r="H82" s="1">
        <v>44597</v>
      </c>
      <c r="I82" s="1">
        <v>44604</v>
      </c>
      <c r="J82" s="1">
        <v>44611</v>
      </c>
      <c r="K82" s="1">
        <v>44618</v>
      </c>
      <c r="L82" s="1">
        <v>44625</v>
      </c>
      <c r="M82" s="1">
        <v>44632</v>
      </c>
      <c r="N82" s="1">
        <v>44639</v>
      </c>
      <c r="O82" s="1">
        <v>44646</v>
      </c>
      <c r="P82" s="1">
        <v>44653</v>
      </c>
      <c r="Q82" s="1">
        <v>44660</v>
      </c>
      <c r="R82" s="1">
        <v>44667</v>
      </c>
      <c r="S82" s="1">
        <v>44674</v>
      </c>
      <c r="T82" s="1">
        <v>44681</v>
      </c>
      <c r="U82" s="1">
        <v>44688</v>
      </c>
      <c r="V82" s="1">
        <v>44695</v>
      </c>
      <c r="W82" s="1">
        <v>44702</v>
      </c>
      <c r="X82" s="1">
        <v>44709</v>
      </c>
      <c r="Y82" s="1">
        <v>44716</v>
      </c>
      <c r="Z82" s="1">
        <v>44723</v>
      </c>
      <c r="AA82" s="1">
        <v>44730</v>
      </c>
      <c r="AB82" s="1">
        <v>44737</v>
      </c>
      <c r="AC82" s="1">
        <v>44744</v>
      </c>
      <c r="AD82" s="1">
        <v>44751</v>
      </c>
      <c r="AE82" s="1">
        <v>44758</v>
      </c>
      <c r="AF82" s="1">
        <v>44765</v>
      </c>
      <c r="AG82" s="1">
        <v>44772</v>
      </c>
      <c r="AH82" s="1">
        <v>44779</v>
      </c>
      <c r="AI82" s="1">
        <v>44786</v>
      </c>
      <c r="AJ82" s="1">
        <v>44793</v>
      </c>
      <c r="AK82" s="1">
        <v>44800</v>
      </c>
      <c r="AL82" s="1">
        <v>44807</v>
      </c>
      <c r="AM82" s="1">
        <v>44814</v>
      </c>
      <c r="AN82" s="1">
        <v>44821</v>
      </c>
      <c r="AO82" s="1">
        <v>44828</v>
      </c>
      <c r="AP82" s="1">
        <v>44835</v>
      </c>
      <c r="AQ82" s="1">
        <v>44842</v>
      </c>
      <c r="AR82" s="1">
        <v>44849</v>
      </c>
      <c r="AS82" s="1">
        <v>44856</v>
      </c>
      <c r="AT82" s="1">
        <v>44863</v>
      </c>
      <c r="AU82" s="1">
        <v>44870</v>
      </c>
      <c r="AV82" s="1">
        <v>44877</v>
      </c>
      <c r="AW82" s="1">
        <v>44884</v>
      </c>
      <c r="AX82" s="1">
        <v>44891</v>
      </c>
      <c r="AY82" s="1">
        <v>44898</v>
      </c>
      <c r="AZ82" s="1">
        <v>44905</v>
      </c>
      <c r="BA82" s="1">
        <v>44912</v>
      </c>
      <c r="BB82" s="1">
        <v>44919</v>
      </c>
    </row>
    <row r="84" spans="1:54" x14ac:dyDescent="0.25">
      <c r="A84" t="s">
        <v>0</v>
      </c>
    </row>
    <row r="85" spans="1:54" x14ac:dyDescent="0.25">
      <c r="B85" t="s">
        <v>3</v>
      </c>
      <c r="C85" s="12" t="s">
        <v>9</v>
      </c>
      <c r="D85">
        <v>5.9</v>
      </c>
      <c r="E85">
        <v>6</v>
      </c>
      <c r="F85">
        <v>6.5</v>
      </c>
      <c r="G85">
        <v>6.1</v>
      </c>
      <c r="H85">
        <v>5</v>
      </c>
      <c r="I85">
        <v>4.5999999999999996</v>
      </c>
      <c r="J85">
        <v>4.5999999999999996</v>
      </c>
      <c r="K85">
        <v>4.5999999999999996</v>
      </c>
      <c r="L85">
        <v>3.9</v>
      </c>
      <c r="M85">
        <v>3.5</v>
      </c>
      <c r="N85">
        <v>3.1</v>
      </c>
      <c r="O85">
        <v>2.9</v>
      </c>
      <c r="P85">
        <v>3.3</v>
      </c>
      <c r="Q85">
        <v>3.2</v>
      </c>
      <c r="R85">
        <v>3.1</v>
      </c>
      <c r="S85">
        <v>3</v>
      </c>
      <c r="T85">
        <v>2.5</v>
      </c>
      <c r="U85">
        <v>2.8</v>
      </c>
      <c r="V85">
        <v>2.7</v>
      </c>
      <c r="W85">
        <v>2.7</v>
      </c>
      <c r="X85">
        <v>2.2999999999999998</v>
      </c>
      <c r="Y85">
        <v>2.4</v>
      </c>
      <c r="Z85">
        <v>2.2000000000000002</v>
      </c>
      <c r="AA85">
        <v>2</v>
      </c>
      <c r="AB85">
        <v>2</v>
      </c>
      <c r="AC85">
        <v>2</v>
      </c>
      <c r="AD85">
        <v>1.8</v>
      </c>
      <c r="AE85">
        <v>1.9</v>
      </c>
      <c r="AF85">
        <v>2.2999999999999998</v>
      </c>
      <c r="AG85">
        <v>1.8</v>
      </c>
      <c r="AH85">
        <v>2.1</v>
      </c>
      <c r="AI85">
        <v>2.2999999999999998</v>
      </c>
      <c r="AJ85">
        <v>2.4</v>
      </c>
      <c r="AK85">
        <v>3.1</v>
      </c>
      <c r="AL85">
        <v>2.6</v>
      </c>
      <c r="AM85">
        <v>3.1</v>
      </c>
      <c r="AN85">
        <v>3.1</v>
      </c>
      <c r="AO85">
        <v>3.4</v>
      </c>
      <c r="AP85">
        <v>3.4</v>
      </c>
      <c r="AQ85">
        <v>3.4</v>
      </c>
      <c r="AR85">
        <v>3.5</v>
      </c>
      <c r="AS85">
        <v>3.6</v>
      </c>
      <c r="AT85">
        <v>3.4</v>
      </c>
      <c r="AU85">
        <v>3.2</v>
      </c>
      <c r="AV85">
        <v>3.8</v>
      </c>
      <c r="AW85">
        <v>3.5</v>
      </c>
      <c r="AX85">
        <v>3</v>
      </c>
      <c r="AY85">
        <v>2.8</v>
      </c>
      <c r="AZ85">
        <v>2.2999999999999998</v>
      </c>
      <c r="BA85">
        <v>2.2999999999999998</v>
      </c>
      <c r="BB85">
        <v>1.9</v>
      </c>
    </row>
    <row r="86" spans="1:54" x14ac:dyDescent="0.25">
      <c r="B86" t="s">
        <v>4</v>
      </c>
      <c r="C86" s="12" t="s">
        <v>9</v>
      </c>
      <c r="D86">
        <v>3.3</v>
      </c>
      <c r="E86">
        <v>2.8</v>
      </c>
      <c r="F86">
        <v>2.2000000000000002</v>
      </c>
      <c r="G86">
        <v>2.6</v>
      </c>
      <c r="H86">
        <v>2.8</v>
      </c>
      <c r="I86">
        <v>3.1</v>
      </c>
      <c r="J86">
        <v>2.5</v>
      </c>
      <c r="K86">
        <v>2</v>
      </c>
      <c r="L86">
        <v>2.4</v>
      </c>
      <c r="M86">
        <v>2.2999999999999998</v>
      </c>
      <c r="N86">
        <v>2.6</v>
      </c>
      <c r="O86">
        <v>2.9</v>
      </c>
      <c r="P86">
        <v>2.1</v>
      </c>
      <c r="Q86">
        <v>2.6</v>
      </c>
      <c r="R86">
        <v>2.4</v>
      </c>
      <c r="S86">
        <v>2.6</v>
      </c>
      <c r="T86">
        <v>2.4</v>
      </c>
      <c r="U86">
        <v>2.2000000000000002</v>
      </c>
      <c r="V86">
        <v>2.6</v>
      </c>
      <c r="W86">
        <v>2.6</v>
      </c>
      <c r="X86">
        <v>2.6</v>
      </c>
      <c r="Y86">
        <v>2.2999999999999998</v>
      </c>
      <c r="Z86">
        <v>2.5</v>
      </c>
      <c r="AA86">
        <v>2.5</v>
      </c>
      <c r="AB86">
        <v>2.6</v>
      </c>
      <c r="AC86">
        <v>3.2</v>
      </c>
      <c r="AD86">
        <v>3.4</v>
      </c>
      <c r="AE86">
        <v>3.6</v>
      </c>
      <c r="AF86">
        <v>3.1</v>
      </c>
      <c r="AG86">
        <v>3.6</v>
      </c>
      <c r="AH86">
        <v>2.9</v>
      </c>
      <c r="AI86">
        <v>3</v>
      </c>
      <c r="AJ86">
        <v>3.6</v>
      </c>
      <c r="AK86">
        <v>3.2</v>
      </c>
      <c r="AL86">
        <v>3.7</v>
      </c>
      <c r="AM86">
        <v>3.2</v>
      </c>
      <c r="AN86">
        <v>3.4</v>
      </c>
      <c r="AO86">
        <v>3.3</v>
      </c>
      <c r="AP86">
        <v>3.2</v>
      </c>
      <c r="AQ86">
        <v>3</v>
      </c>
      <c r="AR86">
        <v>3.6</v>
      </c>
      <c r="AS86">
        <v>3.8</v>
      </c>
      <c r="AT86">
        <v>3.9</v>
      </c>
      <c r="AU86">
        <v>3.2</v>
      </c>
      <c r="AV86">
        <v>3.1</v>
      </c>
      <c r="AW86">
        <v>3.1</v>
      </c>
      <c r="AX86">
        <v>3</v>
      </c>
      <c r="AY86">
        <v>2.4</v>
      </c>
      <c r="AZ86">
        <v>2.4</v>
      </c>
      <c r="BA86">
        <v>3.1</v>
      </c>
      <c r="BB86">
        <v>2.9</v>
      </c>
    </row>
    <row r="87" spans="1:54" x14ac:dyDescent="0.25">
      <c r="B87" t="s">
        <v>5</v>
      </c>
      <c r="C87" s="12" t="s">
        <v>9</v>
      </c>
      <c r="D87">
        <v>9.1999999999999993</v>
      </c>
      <c r="E87">
        <v>8.8000000000000007</v>
      </c>
      <c r="F87">
        <v>8.6999999999999993</v>
      </c>
      <c r="G87">
        <v>8.6999999999999993</v>
      </c>
      <c r="H87">
        <v>7.8</v>
      </c>
      <c r="I87">
        <v>7.7</v>
      </c>
      <c r="J87">
        <v>7.1</v>
      </c>
      <c r="K87">
        <v>6.6</v>
      </c>
      <c r="L87">
        <v>6.3</v>
      </c>
      <c r="M87">
        <v>5.8</v>
      </c>
      <c r="N87">
        <v>5.7</v>
      </c>
      <c r="O87">
        <v>5.8</v>
      </c>
      <c r="P87">
        <v>5.4</v>
      </c>
      <c r="Q87">
        <v>5.8</v>
      </c>
      <c r="R87">
        <v>5.5</v>
      </c>
      <c r="S87">
        <v>5.6</v>
      </c>
      <c r="T87">
        <v>4.9000000000000004</v>
      </c>
      <c r="U87">
        <v>5</v>
      </c>
      <c r="V87">
        <v>5.2</v>
      </c>
      <c r="W87">
        <v>5.2</v>
      </c>
      <c r="X87">
        <v>4.9000000000000004</v>
      </c>
      <c r="Y87">
        <v>4.7</v>
      </c>
      <c r="Z87">
        <v>4.7</v>
      </c>
      <c r="AA87">
        <v>4.5</v>
      </c>
      <c r="AB87">
        <v>4.5999999999999996</v>
      </c>
      <c r="AC87">
        <v>5.2</v>
      </c>
      <c r="AD87">
        <v>5.2</v>
      </c>
      <c r="AE87">
        <v>5.5</v>
      </c>
      <c r="AF87">
        <v>5.4</v>
      </c>
      <c r="AG87">
        <v>5.4</v>
      </c>
      <c r="AH87">
        <v>5</v>
      </c>
      <c r="AI87">
        <v>5.3</v>
      </c>
      <c r="AJ87">
        <v>6</v>
      </c>
      <c r="AK87">
        <v>6.3</v>
      </c>
      <c r="AL87">
        <v>6.3</v>
      </c>
      <c r="AM87">
        <v>6.3</v>
      </c>
      <c r="AN87">
        <v>6.5</v>
      </c>
      <c r="AO87">
        <v>6.7</v>
      </c>
      <c r="AP87">
        <v>6.6</v>
      </c>
      <c r="AQ87">
        <v>6.4</v>
      </c>
      <c r="AR87">
        <v>7.1</v>
      </c>
      <c r="AS87">
        <v>7.4</v>
      </c>
      <c r="AT87">
        <v>7.3</v>
      </c>
      <c r="AU87">
        <v>6.4</v>
      </c>
      <c r="AV87">
        <v>6.9</v>
      </c>
      <c r="AW87">
        <v>6.6</v>
      </c>
      <c r="AX87">
        <v>6</v>
      </c>
      <c r="AY87">
        <v>5.2</v>
      </c>
      <c r="AZ87">
        <v>4.7</v>
      </c>
      <c r="BA87">
        <v>5.4</v>
      </c>
      <c r="BB87">
        <v>4.9000000000000004</v>
      </c>
    </row>
    <row r="88" spans="1:54" x14ac:dyDescent="0.25">
      <c r="C88" s="12"/>
      <c r="AN88"/>
      <c r="AO88"/>
      <c r="AP88"/>
      <c r="AQ88"/>
      <c r="AR88"/>
      <c r="AS88"/>
    </row>
    <row r="89" spans="1:54" x14ac:dyDescent="0.25">
      <c r="B89" t="s">
        <v>2</v>
      </c>
      <c r="C89" s="12">
        <v>2.75</v>
      </c>
      <c r="D89">
        <v>2.75</v>
      </c>
      <c r="E89">
        <v>2.75</v>
      </c>
      <c r="F89">
        <v>2.75</v>
      </c>
      <c r="G89">
        <v>2.75</v>
      </c>
      <c r="H89">
        <v>2.75</v>
      </c>
      <c r="I89">
        <v>2.75</v>
      </c>
      <c r="J89">
        <v>2.75</v>
      </c>
      <c r="K89">
        <v>2.75</v>
      </c>
      <c r="L89">
        <v>2.75</v>
      </c>
      <c r="M89">
        <v>2.75</v>
      </c>
      <c r="N89">
        <v>2.75</v>
      </c>
      <c r="O89">
        <v>2.75</v>
      </c>
      <c r="P89">
        <v>2.75</v>
      </c>
      <c r="Q89">
        <v>2.75</v>
      </c>
      <c r="R89">
        <v>2.75</v>
      </c>
      <c r="S89">
        <v>2.75</v>
      </c>
      <c r="T89">
        <v>2.75</v>
      </c>
      <c r="U89">
        <v>2.75</v>
      </c>
      <c r="V89">
        <v>2.75</v>
      </c>
      <c r="W89">
        <v>2.75</v>
      </c>
      <c r="X89">
        <v>2.75</v>
      </c>
      <c r="Y89">
        <v>2.75</v>
      </c>
      <c r="Z89">
        <v>2.75</v>
      </c>
      <c r="AA89">
        <v>2.75</v>
      </c>
      <c r="AB89">
        <v>2.75</v>
      </c>
      <c r="AC89">
        <v>2.5</v>
      </c>
      <c r="AD89">
        <v>2.5</v>
      </c>
      <c r="AE89">
        <v>2.5</v>
      </c>
      <c r="AF89">
        <v>2.5</v>
      </c>
      <c r="AG89">
        <v>2.5</v>
      </c>
      <c r="AH89">
        <v>2.5</v>
      </c>
      <c r="AI89">
        <v>2.5</v>
      </c>
      <c r="AJ89">
        <v>2.5</v>
      </c>
      <c r="AK89">
        <v>2.5</v>
      </c>
      <c r="AL89">
        <v>2.5</v>
      </c>
      <c r="AM89">
        <v>2.5</v>
      </c>
      <c r="AN89">
        <v>2.5</v>
      </c>
      <c r="AO89">
        <v>2.5</v>
      </c>
      <c r="AP89">
        <v>2.5</v>
      </c>
      <c r="AQ89">
        <v>2.5</v>
      </c>
      <c r="AR89">
        <v>2.5</v>
      </c>
      <c r="AS89">
        <v>2.5</v>
      </c>
      <c r="AT89">
        <v>2.5</v>
      </c>
      <c r="AU89">
        <v>2.75</v>
      </c>
      <c r="AV89">
        <v>2.33</v>
      </c>
      <c r="AW89">
        <v>2.33</v>
      </c>
      <c r="AX89">
        <v>2.33</v>
      </c>
      <c r="AY89">
        <v>2.33</v>
      </c>
      <c r="AZ89">
        <v>2.33</v>
      </c>
      <c r="BA89">
        <v>2</v>
      </c>
      <c r="BB89">
        <v>2</v>
      </c>
    </row>
    <row r="90" spans="1:54" x14ac:dyDescent="0.25">
      <c r="C90" s="12" t="s">
        <v>9</v>
      </c>
      <c r="D90">
        <f t="shared" ref="D90:F90" si="37">+D87*D89</f>
        <v>25.299999999999997</v>
      </c>
      <c r="E90">
        <f t="shared" si="37"/>
        <v>24.200000000000003</v>
      </c>
      <c r="F90">
        <f t="shared" si="37"/>
        <v>23.924999999999997</v>
      </c>
      <c r="G90">
        <f>+G87*G89</f>
        <v>23.924999999999997</v>
      </c>
      <c r="H90">
        <f>+H87*H89</f>
        <v>21.45</v>
      </c>
      <c r="I90">
        <f t="shared" ref="I90:M90" si="38">+I87*I89</f>
        <v>21.175000000000001</v>
      </c>
      <c r="J90">
        <f t="shared" si="38"/>
        <v>19.524999999999999</v>
      </c>
      <c r="K90">
        <f t="shared" si="38"/>
        <v>18.149999999999999</v>
      </c>
      <c r="L90">
        <f t="shared" si="38"/>
        <v>17.324999999999999</v>
      </c>
      <c r="M90">
        <f t="shared" si="38"/>
        <v>15.95</v>
      </c>
      <c r="N90">
        <f t="shared" ref="N90:R90" si="39">+N87*N89</f>
        <v>15.675000000000001</v>
      </c>
      <c r="O90">
        <f t="shared" si="39"/>
        <v>15.95</v>
      </c>
      <c r="P90">
        <f t="shared" si="39"/>
        <v>14.850000000000001</v>
      </c>
      <c r="Q90">
        <f t="shared" si="39"/>
        <v>15.95</v>
      </c>
      <c r="R90">
        <f t="shared" si="39"/>
        <v>15.125</v>
      </c>
      <c r="S90">
        <f>+S87*S89</f>
        <v>15.399999999999999</v>
      </c>
      <c r="T90">
        <f>+T87*T89</f>
        <v>13.475000000000001</v>
      </c>
      <c r="U90">
        <f>+U87*U89</f>
        <v>13.75</v>
      </c>
      <c r="V90">
        <f>+V87*V89</f>
        <v>14.3</v>
      </c>
      <c r="W90">
        <v>14.3</v>
      </c>
      <c r="X90">
        <f t="shared" ref="X90:AB90" si="40">+X87*X89</f>
        <v>13.475000000000001</v>
      </c>
      <c r="Y90">
        <f t="shared" si="40"/>
        <v>12.925000000000001</v>
      </c>
      <c r="Z90">
        <f t="shared" si="40"/>
        <v>12.925000000000001</v>
      </c>
      <c r="AA90">
        <f t="shared" si="40"/>
        <v>12.375</v>
      </c>
      <c r="AB90">
        <f t="shared" si="40"/>
        <v>12.649999999999999</v>
      </c>
      <c r="AC90">
        <f t="shared" ref="AC90:AG90" si="41">+AC87*AC89</f>
        <v>13</v>
      </c>
      <c r="AD90">
        <f t="shared" si="41"/>
        <v>13</v>
      </c>
      <c r="AE90">
        <f t="shared" si="41"/>
        <v>13.75</v>
      </c>
      <c r="AF90">
        <f t="shared" si="41"/>
        <v>13.5</v>
      </c>
      <c r="AG90">
        <f t="shared" si="41"/>
        <v>13.5</v>
      </c>
      <c r="AH90">
        <f t="shared" ref="AH90:AL90" si="42">+AH87*AH89</f>
        <v>12.5</v>
      </c>
      <c r="AI90">
        <f t="shared" si="42"/>
        <v>13.25</v>
      </c>
      <c r="AJ90">
        <f t="shared" si="42"/>
        <v>15</v>
      </c>
      <c r="AK90">
        <f t="shared" si="42"/>
        <v>15.75</v>
      </c>
      <c r="AL90">
        <f t="shared" si="42"/>
        <v>15.75</v>
      </c>
      <c r="AM90">
        <f t="shared" ref="AM90:AQ90" si="43">+AM87*AM89</f>
        <v>15.75</v>
      </c>
      <c r="AN90">
        <f t="shared" si="43"/>
        <v>16.25</v>
      </c>
      <c r="AO90">
        <f t="shared" si="43"/>
        <v>16.75</v>
      </c>
      <c r="AP90">
        <f t="shared" si="43"/>
        <v>16.5</v>
      </c>
      <c r="AQ90">
        <f t="shared" si="43"/>
        <v>16</v>
      </c>
      <c r="AR90">
        <f t="shared" ref="AR90:AV90" si="44">+AR87*AR89</f>
        <v>17.75</v>
      </c>
      <c r="AS90">
        <f t="shared" si="44"/>
        <v>18.5</v>
      </c>
      <c r="AT90">
        <f t="shared" si="44"/>
        <v>18.25</v>
      </c>
      <c r="AU90">
        <f t="shared" si="44"/>
        <v>17.600000000000001</v>
      </c>
      <c r="AV90">
        <f t="shared" si="44"/>
        <v>16.077000000000002</v>
      </c>
      <c r="AW90">
        <f t="shared" ref="AW90:BA90" si="45">+AW87*AW89</f>
        <v>15.378</v>
      </c>
      <c r="AX90">
        <f t="shared" si="45"/>
        <v>13.98</v>
      </c>
      <c r="AY90">
        <f t="shared" si="45"/>
        <v>12.116000000000001</v>
      </c>
      <c r="AZ90">
        <f t="shared" si="45"/>
        <v>10.951000000000001</v>
      </c>
      <c r="BA90">
        <f t="shared" si="45"/>
        <v>10.8</v>
      </c>
      <c r="BB90">
        <f>+BB87*BB89</f>
        <v>9.8000000000000007</v>
      </c>
    </row>
    <row r="91" spans="1:54" x14ac:dyDescent="0.25">
      <c r="C91" s="12"/>
    </row>
    <row r="92" spans="1:54" x14ac:dyDescent="0.25">
      <c r="A92" t="s">
        <v>1</v>
      </c>
      <c r="C92" s="12"/>
    </row>
    <row r="93" spans="1:54" x14ac:dyDescent="0.25">
      <c r="B93" t="s">
        <v>3</v>
      </c>
      <c r="C93" s="12" t="s">
        <v>9</v>
      </c>
      <c r="D93">
        <v>7.4</v>
      </c>
      <c r="E93">
        <v>7.5</v>
      </c>
      <c r="F93">
        <v>6.8</v>
      </c>
      <c r="G93">
        <v>7.4</v>
      </c>
      <c r="H93">
        <v>6.6</v>
      </c>
      <c r="I93">
        <v>5.8</v>
      </c>
      <c r="J93">
        <v>5.4</v>
      </c>
      <c r="K93">
        <v>3.4</v>
      </c>
      <c r="L93">
        <v>4.4000000000000004</v>
      </c>
      <c r="M93">
        <v>4.0999999999999996</v>
      </c>
      <c r="N93">
        <v>3.3</v>
      </c>
      <c r="O93">
        <v>2.9</v>
      </c>
      <c r="P93">
        <v>2.9</v>
      </c>
      <c r="Q93">
        <v>2.9</v>
      </c>
      <c r="R93">
        <v>3.4</v>
      </c>
      <c r="S93">
        <v>3.1</v>
      </c>
      <c r="T93">
        <v>2.7</v>
      </c>
      <c r="U93">
        <v>2.8</v>
      </c>
      <c r="V93">
        <v>2.9</v>
      </c>
      <c r="W93">
        <v>2.9</v>
      </c>
      <c r="X93">
        <v>3.6</v>
      </c>
      <c r="Y93">
        <v>3.8</v>
      </c>
      <c r="Z93">
        <v>3.6</v>
      </c>
      <c r="AA93">
        <v>3.8</v>
      </c>
      <c r="AB93">
        <v>3.2</v>
      </c>
      <c r="AC93">
        <v>1.9</v>
      </c>
      <c r="AD93">
        <v>1.8</v>
      </c>
      <c r="AE93">
        <v>1.7</v>
      </c>
      <c r="AF93">
        <v>1.9</v>
      </c>
      <c r="AG93">
        <v>1.4</v>
      </c>
      <c r="AH93">
        <v>2.1</v>
      </c>
      <c r="AI93">
        <v>2.1</v>
      </c>
      <c r="AJ93">
        <v>2.2000000000000002</v>
      </c>
      <c r="AK93">
        <v>2.5</v>
      </c>
      <c r="AL93">
        <v>2.5</v>
      </c>
      <c r="AM93">
        <v>2.4</v>
      </c>
      <c r="AN93">
        <v>2.7</v>
      </c>
      <c r="AO93">
        <v>2.8</v>
      </c>
      <c r="AP93">
        <v>3.1</v>
      </c>
      <c r="AQ93">
        <v>3.2</v>
      </c>
      <c r="AR93">
        <v>3.2</v>
      </c>
      <c r="AS93">
        <v>3.7</v>
      </c>
      <c r="AT93">
        <v>3.5</v>
      </c>
      <c r="AU93">
        <v>3.2</v>
      </c>
      <c r="AV93">
        <v>3.1</v>
      </c>
      <c r="AW93">
        <v>2.8</v>
      </c>
      <c r="AX93">
        <v>3.3</v>
      </c>
      <c r="AY93">
        <v>3</v>
      </c>
      <c r="AZ93">
        <v>2.7</v>
      </c>
      <c r="BA93">
        <v>2.9</v>
      </c>
      <c r="BB93">
        <v>2.9</v>
      </c>
    </row>
    <row r="94" spans="1:54" x14ac:dyDescent="0.25">
      <c r="B94" t="s">
        <v>4</v>
      </c>
      <c r="C94" s="12" t="s">
        <v>9</v>
      </c>
      <c r="D94">
        <v>5.3</v>
      </c>
      <c r="E94">
        <v>4.4000000000000004</v>
      </c>
      <c r="F94">
        <v>4.9000000000000004</v>
      </c>
      <c r="G94">
        <v>3.8</v>
      </c>
      <c r="H94">
        <v>4.0999999999999996</v>
      </c>
      <c r="I94">
        <v>4.4000000000000004</v>
      </c>
      <c r="J94">
        <v>3.8</v>
      </c>
      <c r="K94">
        <v>5.0999999999999996</v>
      </c>
      <c r="L94">
        <v>3.2</v>
      </c>
      <c r="M94">
        <v>3.2</v>
      </c>
      <c r="N94">
        <v>3.5</v>
      </c>
      <c r="O94">
        <v>3.7</v>
      </c>
      <c r="P94">
        <v>3.7</v>
      </c>
      <c r="Q94">
        <v>3.8</v>
      </c>
      <c r="R94">
        <v>3.3</v>
      </c>
      <c r="S94">
        <v>3.4</v>
      </c>
      <c r="T94">
        <v>3.9</v>
      </c>
      <c r="U94">
        <v>3.9</v>
      </c>
      <c r="V94">
        <v>4.2</v>
      </c>
      <c r="W94">
        <v>4.2</v>
      </c>
      <c r="X94">
        <v>4</v>
      </c>
      <c r="Y94">
        <v>3.9</v>
      </c>
      <c r="Z94">
        <v>4.3</v>
      </c>
      <c r="AA94">
        <v>4.5</v>
      </c>
      <c r="AB94">
        <v>4.4000000000000004</v>
      </c>
      <c r="AC94">
        <v>2.9</v>
      </c>
      <c r="AD94">
        <v>2.6</v>
      </c>
      <c r="AE94">
        <v>2.7</v>
      </c>
      <c r="AF94">
        <v>2.7</v>
      </c>
      <c r="AG94">
        <v>3.2</v>
      </c>
      <c r="AH94">
        <v>2.7</v>
      </c>
      <c r="AI94">
        <v>3</v>
      </c>
      <c r="AJ94">
        <v>3.2</v>
      </c>
      <c r="AK94">
        <v>2.7</v>
      </c>
      <c r="AL94">
        <v>2.8</v>
      </c>
      <c r="AM94">
        <v>2.8</v>
      </c>
      <c r="AN94">
        <v>2.6</v>
      </c>
      <c r="AO94">
        <v>2.9</v>
      </c>
      <c r="AP94">
        <v>3.2</v>
      </c>
      <c r="AQ94">
        <v>3</v>
      </c>
      <c r="AR94">
        <v>2.9</v>
      </c>
      <c r="AS94">
        <v>2.7</v>
      </c>
      <c r="AT94">
        <v>2.7</v>
      </c>
      <c r="AU94">
        <v>2.7</v>
      </c>
      <c r="AV94">
        <v>2.5</v>
      </c>
      <c r="AW94">
        <v>2.6</v>
      </c>
      <c r="AX94">
        <v>2.2000000000000002</v>
      </c>
      <c r="AY94">
        <v>1.9</v>
      </c>
      <c r="AZ94">
        <v>1.7</v>
      </c>
      <c r="BA94">
        <v>2.4</v>
      </c>
      <c r="BB94">
        <v>2.2999999999999998</v>
      </c>
    </row>
    <row r="95" spans="1:54" x14ac:dyDescent="0.25">
      <c r="B95" t="s">
        <v>5</v>
      </c>
      <c r="C95" s="12" t="s">
        <v>9</v>
      </c>
      <c r="D95">
        <v>12.7</v>
      </c>
      <c r="E95">
        <v>11.9</v>
      </c>
      <c r="F95">
        <v>11.7</v>
      </c>
      <c r="G95">
        <v>11.2</v>
      </c>
      <c r="H95">
        <v>10.7</v>
      </c>
      <c r="I95">
        <v>10.199999999999999</v>
      </c>
      <c r="J95">
        <v>9.1999999999999993</v>
      </c>
      <c r="K95">
        <v>8.5</v>
      </c>
      <c r="L95">
        <v>7.6</v>
      </c>
      <c r="M95">
        <v>7.3</v>
      </c>
      <c r="N95">
        <v>6.8</v>
      </c>
      <c r="O95">
        <v>6.6</v>
      </c>
      <c r="P95">
        <v>6.6</v>
      </c>
      <c r="Q95">
        <v>6.7</v>
      </c>
      <c r="R95">
        <v>6.7</v>
      </c>
      <c r="S95">
        <v>6.5</v>
      </c>
      <c r="T95">
        <v>6.6</v>
      </c>
      <c r="U95">
        <v>6.7</v>
      </c>
      <c r="V95">
        <v>7.1</v>
      </c>
      <c r="W95">
        <v>7.1</v>
      </c>
      <c r="X95">
        <v>7.6</v>
      </c>
      <c r="Y95">
        <v>7.7</v>
      </c>
      <c r="Z95">
        <v>7.9</v>
      </c>
      <c r="AA95">
        <v>8.3000000000000007</v>
      </c>
      <c r="AB95">
        <v>7.6</v>
      </c>
      <c r="AC95">
        <v>4.8</v>
      </c>
      <c r="AD95">
        <v>4.4000000000000004</v>
      </c>
      <c r="AE95">
        <v>4.4000000000000004</v>
      </c>
      <c r="AF95">
        <v>4.5999999999999996</v>
      </c>
      <c r="AG95">
        <v>4.5999999999999996</v>
      </c>
      <c r="AH95">
        <v>4.8</v>
      </c>
      <c r="AI95">
        <v>5.0999999999999996</v>
      </c>
      <c r="AJ95">
        <v>5.4</v>
      </c>
      <c r="AK95">
        <v>5.2</v>
      </c>
      <c r="AL95">
        <v>5.3</v>
      </c>
      <c r="AM95">
        <v>5.2</v>
      </c>
      <c r="AN95">
        <v>5.3</v>
      </c>
      <c r="AO95">
        <v>5.7</v>
      </c>
      <c r="AP95">
        <v>6.3</v>
      </c>
      <c r="AQ95">
        <v>6.2</v>
      </c>
      <c r="AR95">
        <v>6.1</v>
      </c>
      <c r="AS95">
        <v>6.4</v>
      </c>
      <c r="AT95">
        <v>6.2</v>
      </c>
      <c r="AU95">
        <v>5.9</v>
      </c>
      <c r="AV95">
        <v>5.6</v>
      </c>
      <c r="AW95">
        <v>5.4</v>
      </c>
      <c r="AX95">
        <v>5.5</v>
      </c>
      <c r="AY95">
        <v>4.9000000000000004</v>
      </c>
      <c r="AZ95">
        <v>4.4000000000000004</v>
      </c>
      <c r="BA95">
        <v>5.3</v>
      </c>
      <c r="BB95">
        <v>4.9000000000000004</v>
      </c>
    </row>
    <row r="96" spans="1:54" x14ac:dyDescent="0.25">
      <c r="C96" s="12"/>
      <c r="AN96"/>
      <c r="AO96"/>
      <c r="AP96"/>
      <c r="AQ96"/>
      <c r="AR96"/>
      <c r="AS96"/>
    </row>
    <row r="97" spans="1:54" x14ac:dyDescent="0.25">
      <c r="B97" t="s">
        <v>2</v>
      </c>
      <c r="C97" s="12">
        <v>4</v>
      </c>
      <c r="D97">
        <v>4</v>
      </c>
      <c r="E97">
        <v>4</v>
      </c>
      <c r="F97">
        <v>4</v>
      </c>
      <c r="G97">
        <v>4</v>
      </c>
      <c r="H97">
        <v>4</v>
      </c>
      <c r="I97">
        <v>4</v>
      </c>
      <c r="J97">
        <v>4</v>
      </c>
      <c r="K97">
        <v>4</v>
      </c>
      <c r="L97">
        <v>4</v>
      </c>
      <c r="M97">
        <v>4</v>
      </c>
      <c r="N97">
        <v>4</v>
      </c>
      <c r="O97">
        <v>4</v>
      </c>
      <c r="P97">
        <v>4</v>
      </c>
      <c r="Q97">
        <v>4</v>
      </c>
      <c r="R97">
        <v>4</v>
      </c>
      <c r="S97">
        <v>4</v>
      </c>
      <c r="T97">
        <v>4</v>
      </c>
      <c r="U97">
        <v>4</v>
      </c>
      <c r="V97">
        <v>4</v>
      </c>
      <c r="W97">
        <v>4</v>
      </c>
      <c r="X97">
        <v>4</v>
      </c>
      <c r="Y97">
        <v>4</v>
      </c>
      <c r="Z97">
        <v>4</v>
      </c>
      <c r="AA97">
        <v>4</v>
      </c>
      <c r="AB97">
        <v>4</v>
      </c>
      <c r="AC97">
        <v>5.5</v>
      </c>
      <c r="AD97">
        <v>5.5</v>
      </c>
      <c r="AE97">
        <v>5.5</v>
      </c>
      <c r="AF97">
        <v>5.5</v>
      </c>
      <c r="AG97">
        <v>5.5</v>
      </c>
      <c r="AH97">
        <v>5.5</v>
      </c>
      <c r="AI97">
        <v>5.5</v>
      </c>
      <c r="AJ97">
        <v>5.5</v>
      </c>
      <c r="AK97">
        <v>5.5</v>
      </c>
      <c r="AL97">
        <v>5.5</v>
      </c>
      <c r="AM97">
        <v>5.5</v>
      </c>
      <c r="AN97">
        <v>5.5</v>
      </c>
      <c r="AO97">
        <v>5.5</v>
      </c>
      <c r="AP97">
        <v>5.5</v>
      </c>
      <c r="AQ97">
        <v>5.5</v>
      </c>
      <c r="AR97">
        <v>5.5</v>
      </c>
      <c r="AS97">
        <v>5.5</v>
      </c>
      <c r="AT97">
        <v>5.5</v>
      </c>
      <c r="AU97">
        <v>5.5</v>
      </c>
      <c r="AV97">
        <v>5.67</v>
      </c>
      <c r="AW97">
        <v>5.67</v>
      </c>
      <c r="AX97">
        <v>5.67</v>
      </c>
      <c r="AY97">
        <v>5.67</v>
      </c>
      <c r="AZ97">
        <v>5.67</v>
      </c>
      <c r="BA97">
        <v>5</v>
      </c>
      <c r="BB97">
        <v>5</v>
      </c>
    </row>
    <row r="98" spans="1:54" x14ac:dyDescent="0.25">
      <c r="C98" s="12" t="s">
        <v>9</v>
      </c>
      <c r="D98">
        <f t="shared" ref="D98:H98" si="46">+D95*D97</f>
        <v>50.8</v>
      </c>
      <c r="E98">
        <f t="shared" si="46"/>
        <v>47.6</v>
      </c>
      <c r="F98">
        <f t="shared" si="46"/>
        <v>46.8</v>
      </c>
      <c r="G98">
        <f t="shared" si="46"/>
        <v>44.8</v>
      </c>
      <c r="H98">
        <f t="shared" si="46"/>
        <v>42.8</v>
      </c>
      <c r="I98">
        <f t="shared" ref="I98:M98" si="47">+I95*I97</f>
        <v>40.799999999999997</v>
      </c>
      <c r="J98">
        <f t="shared" si="47"/>
        <v>36.799999999999997</v>
      </c>
      <c r="K98">
        <f t="shared" si="47"/>
        <v>34</v>
      </c>
      <c r="L98">
        <f t="shared" si="47"/>
        <v>30.4</v>
      </c>
      <c r="M98">
        <f t="shared" si="47"/>
        <v>29.2</v>
      </c>
      <c r="N98">
        <f t="shared" ref="N98:R98" si="48">+N95*N97</f>
        <v>27.2</v>
      </c>
      <c r="O98">
        <f t="shared" si="48"/>
        <v>26.4</v>
      </c>
      <c r="P98">
        <f t="shared" si="48"/>
        <v>26.4</v>
      </c>
      <c r="Q98">
        <f t="shared" si="48"/>
        <v>26.8</v>
      </c>
      <c r="R98">
        <f t="shared" si="48"/>
        <v>26.8</v>
      </c>
      <c r="S98">
        <f>+S95*S97</f>
        <v>26</v>
      </c>
      <c r="T98">
        <f>+T95*T97</f>
        <v>26.4</v>
      </c>
      <c r="U98">
        <f>+U95*U97</f>
        <v>26.8</v>
      </c>
      <c r="V98">
        <f>+V95*V97</f>
        <v>28.4</v>
      </c>
      <c r="W98">
        <v>28.4</v>
      </c>
      <c r="X98">
        <f t="shared" ref="X98:AB98" si="49">+X95*X97</f>
        <v>30.4</v>
      </c>
      <c r="Y98">
        <f t="shared" si="49"/>
        <v>30.8</v>
      </c>
      <c r="Z98">
        <f t="shared" si="49"/>
        <v>31.6</v>
      </c>
      <c r="AA98">
        <f t="shared" si="49"/>
        <v>33.200000000000003</v>
      </c>
      <c r="AB98">
        <f t="shared" si="49"/>
        <v>30.4</v>
      </c>
      <c r="AC98">
        <f t="shared" ref="AC98:AG98" si="50">+AC95*AC97</f>
        <v>26.4</v>
      </c>
      <c r="AD98">
        <f t="shared" si="50"/>
        <v>24.200000000000003</v>
      </c>
      <c r="AE98">
        <f t="shared" si="50"/>
        <v>24.200000000000003</v>
      </c>
      <c r="AF98">
        <f t="shared" si="50"/>
        <v>25.299999999999997</v>
      </c>
      <c r="AG98">
        <f t="shared" si="50"/>
        <v>25.299999999999997</v>
      </c>
      <c r="AH98">
        <f t="shared" ref="AH98:AL98" si="51">+AH95*AH97</f>
        <v>26.4</v>
      </c>
      <c r="AI98">
        <f t="shared" si="51"/>
        <v>28.049999999999997</v>
      </c>
      <c r="AJ98">
        <f t="shared" si="51"/>
        <v>29.700000000000003</v>
      </c>
      <c r="AK98">
        <f t="shared" si="51"/>
        <v>28.6</v>
      </c>
      <c r="AL98">
        <f t="shared" si="51"/>
        <v>29.15</v>
      </c>
      <c r="AM98">
        <f t="shared" ref="AM98:AQ98" si="52">+AM95*AM97</f>
        <v>28.6</v>
      </c>
      <c r="AN98">
        <f t="shared" si="52"/>
        <v>29.15</v>
      </c>
      <c r="AO98">
        <f t="shared" si="52"/>
        <v>31.35</v>
      </c>
      <c r="AP98">
        <f t="shared" si="52"/>
        <v>34.65</v>
      </c>
      <c r="AQ98">
        <f t="shared" si="52"/>
        <v>34.1</v>
      </c>
      <c r="AR98">
        <f t="shared" ref="AR98:AV98" si="53">+AR95*AR97</f>
        <v>33.549999999999997</v>
      </c>
      <c r="AS98">
        <f t="shared" si="53"/>
        <v>35.200000000000003</v>
      </c>
      <c r="AT98">
        <f t="shared" si="53"/>
        <v>34.1</v>
      </c>
      <c r="AU98">
        <f t="shared" si="53"/>
        <v>32.450000000000003</v>
      </c>
      <c r="AV98">
        <f t="shared" si="53"/>
        <v>31.751999999999999</v>
      </c>
      <c r="AW98">
        <f t="shared" ref="AW98:BA98" si="54">+AW95*AW97</f>
        <v>30.618000000000002</v>
      </c>
      <c r="AX98">
        <f t="shared" si="54"/>
        <v>31.184999999999999</v>
      </c>
      <c r="AY98">
        <f t="shared" si="54"/>
        <v>27.783000000000001</v>
      </c>
      <c r="AZ98">
        <f t="shared" si="54"/>
        <v>24.948</v>
      </c>
      <c r="BA98">
        <f t="shared" si="54"/>
        <v>26.5</v>
      </c>
      <c r="BB98">
        <f>+BB95*BB97</f>
        <v>24.5</v>
      </c>
    </row>
    <row r="99" spans="1:54" x14ac:dyDescent="0.25">
      <c r="G99" t="s">
        <v>10</v>
      </c>
    </row>
    <row r="101" spans="1:54" x14ac:dyDescent="0.25">
      <c r="A101" s="1"/>
      <c r="B101" s="2">
        <v>2021</v>
      </c>
      <c r="C101" s="1">
        <v>44198</v>
      </c>
      <c r="D101" s="1">
        <v>44205</v>
      </c>
      <c r="E101" s="1">
        <v>44212</v>
      </c>
      <c r="F101" s="1">
        <v>44219</v>
      </c>
      <c r="G101" s="1">
        <v>44226</v>
      </c>
      <c r="H101" s="1">
        <v>44233</v>
      </c>
      <c r="I101" s="1">
        <v>44240</v>
      </c>
      <c r="J101" s="1">
        <v>44247</v>
      </c>
      <c r="K101" s="1">
        <v>44254</v>
      </c>
      <c r="L101" s="1">
        <v>44261</v>
      </c>
      <c r="M101" s="1">
        <v>44268</v>
      </c>
      <c r="N101" s="1">
        <v>44275</v>
      </c>
      <c r="O101" s="1">
        <v>44282</v>
      </c>
      <c r="P101" s="1">
        <v>44289</v>
      </c>
      <c r="Q101" s="1">
        <v>44296</v>
      </c>
      <c r="R101" s="1">
        <v>44303</v>
      </c>
      <c r="S101" s="1">
        <v>44310</v>
      </c>
      <c r="T101" s="1">
        <v>44317</v>
      </c>
      <c r="U101" s="1">
        <v>44324</v>
      </c>
      <c r="V101" s="1">
        <v>44331</v>
      </c>
      <c r="W101" s="1">
        <v>44338</v>
      </c>
      <c r="X101" s="1">
        <v>44345</v>
      </c>
      <c r="Y101" s="1">
        <v>44352</v>
      </c>
      <c r="Z101" s="1">
        <v>44359</v>
      </c>
      <c r="AA101" s="1">
        <v>44366</v>
      </c>
      <c r="AB101" s="1">
        <v>44373</v>
      </c>
      <c r="AC101" s="1">
        <v>44380</v>
      </c>
      <c r="AD101" s="1">
        <v>44387</v>
      </c>
      <c r="AE101" s="1">
        <v>44394</v>
      </c>
      <c r="AF101" s="1">
        <v>44401</v>
      </c>
      <c r="AG101" s="1">
        <v>44408</v>
      </c>
      <c r="AH101" s="1">
        <v>44415</v>
      </c>
      <c r="AI101" s="1">
        <v>44422</v>
      </c>
      <c r="AJ101" s="1">
        <v>44429</v>
      </c>
      <c r="AK101" s="1">
        <v>44436</v>
      </c>
      <c r="AL101" s="1">
        <v>44443</v>
      </c>
      <c r="AM101" s="1">
        <v>44450</v>
      </c>
      <c r="AN101" s="1">
        <v>44457</v>
      </c>
      <c r="AO101" s="1">
        <v>44464</v>
      </c>
      <c r="AP101" s="1">
        <v>44471</v>
      </c>
      <c r="AQ101" s="1">
        <v>44478</v>
      </c>
      <c r="AR101" s="1">
        <v>44485</v>
      </c>
      <c r="AS101" s="1">
        <v>44492</v>
      </c>
      <c r="AT101" s="1">
        <v>44499</v>
      </c>
      <c r="AU101" s="1">
        <v>44506</v>
      </c>
      <c r="AV101" s="1">
        <v>44513</v>
      </c>
      <c r="AW101" s="1">
        <v>44520</v>
      </c>
      <c r="AX101" s="1">
        <v>44527</v>
      </c>
      <c r="AY101" s="1">
        <v>44534</v>
      </c>
      <c r="AZ101" s="1">
        <v>44541</v>
      </c>
      <c r="BA101" s="1">
        <v>44548</v>
      </c>
      <c r="BB101" s="1">
        <v>44555</v>
      </c>
    </row>
    <row r="102" spans="1:54" x14ac:dyDescent="0.25">
      <c r="A102" s="1"/>
      <c r="B102" s="2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x14ac:dyDescent="0.25">
      <c r="A103" s="1" t="s">
        <v>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x14ac:dyDescent="0.25">
      <c r="B104" t="s">
        <v>3</v>
      </c>
      <c r="C104">
        <v>4.9000000000000004</v>
      </c>
      <c r="D104">
        <v>5.3</v>
      </c>
      <c r="E104">
        <v>4.8</v>
      </c>
      <c r="F104">
        <v>4.4000000000000004</v>
      </c>
      <c r="G104">
        <v>4.3</v>
      </c>
      <c r="H104">
        <v>1.6</v>
      </c>
      <c r="I104">
        <v>3.8</v>
      </c>
      <c r="J104">
        <v>3.4</v>
      </c>
      <c r="K104">
        <v>3.1</v>
      </c>
      <c r="L104">
        <v>2.6</v>
      </c>
      <c r="M104">
        <v>2.4</v>
      </c>
      <c r="N104">
        <v>2.2999999999999998</v>
      </c>
      <c r="O104">
        <v>2.4</v>
      </c>
      <c r="P104">
        <v>2.2999999999999998</v>
      </c>
      <c r="Q104">
        <v>1.5</v>
      </c>
      <c r="R104">
        <v>3</v>
      </c>
      <c r="S104">
        <v>4.0999999999999996</v>
      </c>
      <c r="T104">
        <v>4</v>
      </c>
      <c r="U104">
        <v>4.4000000000000004</v>
      </c>
      <c r="V104">
        <v>5.2</v>
      </c>
      <c r="W104">
        <v>5.4</v>
      </c>
      <c r="X104">
        <v>5.7</v>
      </c>
      <c r="Y104">
        <v>6.1</v>
      </c>
      <c r="Z104">
        <v>5.9</v>
      </c>
      <c r="AA104">
        <v>5.8</v>
      </c>
      <c r="AB104">
        <v>5.6</v>
      </c>
      <c r="AC104">
        <v>4.9000000000000004</v>
      </c>
      <c r="AD104">
        <v>4.9000000000000004</v>
      </c>
      <c r="AE104">
        <v>4.7</v>
      </c>
      <c r="AF104">
        <v>6</v>
      </c>
      <c r="AG104">
        <v>5.6</v>
      </c>
      <c r="AH104">
        <v>5.7</v>
      </c>
      <c r="AI104">
        <v>5.7</v>
      </c>
      <c r="AJ104">
        <v>6.5</v>
      </c>
      <c r="AK104">
        <v>6.7</v>
      </c>
      <c r="AL104">
        <v>6.3</v>
      </c>
      <c r="AM104">
        <v>6.4</v>
      </c>
      <c r="AN104">
        <v>6.7</v>
      </c>
      <c r="AO104">
        <v>6.5</v>
      </c>
      <c r="AP104">
        <v>6.7</v>
      </c>
      <c r="AQ104">
        <v>7.1</v>
      </c>
      <c r="AR104">
        <v>7.2</v>
      </c>
      <c r="AS104">
        <v>6.4</v>
      </c>
      <c r="AT104">
        <v>6.1</v>
      </c>
      <c r="AU104">
        <v>6.5</v>
      </c>
      <c r="AV104">
        <v>6.5</v>
      </c>
      <c r="AW104">
        <v>6.3</v>
      </c>
      <c r="AX104">
        <v>6.2</v>
      </c>
      <c r="AY104">
        <v>6.3</v>
      </c>
      <c r="AZ104">
        <v>6.9</v>
      </c>
      <c r="BA104">
        <v>6.9</v>
      </c>
      <c r="BB104">
        <v>6.6</v>
      </c>
    </row>
    <row r="105" spans="1:54" x14ac:dyDescent="0.25">
      <c r="B105" t="s">
        <v>4</v>
      </c>
      <c r="C105">
        <v>2.1</v>
      </c>
      <c r="D105">
        <v>1.5</v>
      </c>
      <c r="E105">
        <v>1.4</v>
      </c>
      <c r="F105">
        <v>1.7</v>
      </c>
      <c r="G105">
        <v>1.5</v>
      </c>
      <c r="H105">
        <v>3.7</v>
      </c>
      <c r="I105">
        <v>1.2</v>
      </c>
      <c r="J105">
        <v>1.2</v>
      </c>
      <c r="K105">
        <v>0.8</v>
      </c>
      <c r="L105">
        <v>0.9</v>
      </c>
      <c r="M105">
        <v>1.2</v>
      </c>
      <c r="N105">
        <v>1.1000000000000001</v>
      </c>
      <c r="O105">
        <v>1.4</v>
      </c>
      <c r="P105">
        <v>2</v>
      </c>
      <c r="Q105">
        <v>3</v>
      </c>
      <c r="R105">
        <v>2.2999999999999998</v>
      </c>
      <c r="S105">
        <v>1.6</v>
      </c>
      <c r="T105">
        <v>2.4</v>
      </c>
      <c r="U105">
        <v>3</v>
      </c>
      <c r="V105">
        <v>2.9</v>
      </c>
      <c r="W105">
        <v>2.5</v>
      </c>
      <c r="X105">
        <v>2.6</v>
      </c>
      <c r="Y105">
        <v>2.4</v>
      </c>
      <c r="Z105">
        <v>2.1</v>
      </c>
      <c r="AA105">
        <v>2.2999999999999998</v>
      </c>
      <c r="AB105">
        <v>1.9</v>
      </c>
      <c r="AC105">
        <v>2</v>
      </c>
      <c r="AD105">
        <v>2</v>
      </c>
      <c r="AE105">
        <v>2.6</v>
      </c>
      <c r="AF105">
        <v>1.6</v>
      </c>
      <c r="AG105">
        <v>2.2000000000000002</v>
      </c>
      <c r="AH105">
        <v>2.4</v>
      </c>
      <c r="AI105">
        <v>2.9</v>
      </c>
      <c r="AJ105">
        <v>2.2000000000000002</v>
      </c>
      <c r="AK105">
        <v>1.9</v>
      </c>
      <c r="AL105">
        <v>2.1</v>
      </c>
      <c r="AM105">
        <v>2.2999999999999998</v>
      </c>
      <c r="AN105">
        <v>2</v>
      </c>
      <c r="AO105">
        <v>2.2000000000000002</v>
      </c>
      <c r="AP105">
        <v>2.4</v>
      </c>
      <c r="AQ105">
        <v>2</v>
      </c>
      <c r="AR105">
        <v>1.8</v>
      </c>
      <c r="AS105">
        <v>2.2000000000000002</v>
      </c>
      <c r="AT105">
        <v>2.4</v>
      </c>
      <c r="AU105">
        <v>3.1</v>
      </c>
      <c r="AV105">
        <v>2.7</v>
      </c>
      <c r="AW105">
        <v>3.7</v>
      </c>
      <c r="AX105">
        <v>3.3</v>
      </c>
      <c r="AY105">
        <v>2.8</v>
      </c>
      <c r="AZ105">
        <v>3.1</v>
      </c>
      <c r="BA105">
        <v>3.2</v>
      </c>
      <c r="BB105">
        <v>3.2</v>
      </c>
    </row>
    <row r="106" spans="1:54" x14ac:dyDescent="0.25">
      <c r="B106" t="s">
        <v>5</v>
      </c>
      <c r="C106">
        <f>SUM(C104:C105)</f>
        <v>7</v>
      </c>
      <c r="D106">
        <f>SUM(D104:D105)</f>
        <v>6.8</v>
      </c>
      <c r="E106">
        <f>SUM(E104:E105)</f>
        <v>6.1999999999999993</v>
      </c>
      <c r="F106" s="10">
        <v>6.1</v>
      </c>
      <c r="G106">
        <f t="shared" ref="G106:L106" si="55">SUM(G104:G105)</f>
        <v>5.8</v>
      </c>
      <c r="H106">
        <f t="shared" si="55"/>
        <v>5.3000000000000007</v>
      </c>
      <c r="I106">
        <f t="shared" si="55"/>
        <v>5</v>
      </c>
      <c r="J106">
        <f t="shared" si="55"/>
        <v>4.5999999999999996</v>
      </c>
      <c r="K106">
        <f t="shared" si="55"/>
        <v>3.9000000000000004</v>
      </c>
      <c r="L106">
        <f t="shared" si="55"/>
        <v>3.5</v>
      </c>
      <c r="M106">
        <f t="shared" ref="M106:R106" si="56">SUM(M104:M105)</f>
        <v>3.5999999999999996</v>
      </c>
      <c r="N106">
        <f t="shared" si="56"/>
        <v>3.4</v>
      </c>
      <c r="O106">
        <f t="shared" si="56"/>
        <v>3.8</v>
      </c>
      <c r="P106">
        <f t="shared" si="56"/>
        <v>4.3</v>
      </c>
      <c r="Q106">
        <f t="shared" si="56"/>
        <v>4.5</v>
      </c>
      <c r="R106">
        <f t="shared" si="56"/>
        <v>5.3</v>
      </c>
      <c r="S106">
        <f>SUM(S104:S105)</f>
        <v>5.6999999999999993</v>
      </c>
      <c r="T106">
        <f>SUM(T104:T105)</f>
        <v>6.4</v>
      </c>
      <c r="U106">
        <f>SUM(U104:U105)</f>
        <v>7.4</v>
      </c>
      <c r="V106" s="13">
        <v>8.1</v>
      </c>
      <c r="W106" s="13">
        <v>7.9</v>
      </c>
      <c r="X106">
        <f t="shared" ref="X106:AC106" si="57">SUM(X104:X105)</f>
        <v>8.3000000000000007</v>
      </c>
      <c r="Y106">
        <f t="shared" si="57"/>
        <v>8.5</v>
      </c>
      <c r="Z106">
        <f t="shared" si="57"/>
        <v>8</v>
      </c>
      <c r="AA106">
        <f t="shared" si="57"/>
        <v>8.1</v>
      </c>
      <c r="AB106">
        <f t="shared" si="57"/>
        <v>7.5</v>
      </c>
      <c r="AC106">
        <f t="shared" si="57"/>
        <v>6.9</v>
      </c>
      <c r="AD106">
        <f>SUM(AD104:AD105)</f>
        <v>6.9</v>
      </c>
      <c r="AE106">
        <f>SUM(AE104:AE105)</f>
        <v>7.3000000000000007</v>
      </c>
      <c r="AF106" s="13">
        <v>7.6</v>
      </c>
      <c r="AG106" s="13">
        <v>7.8</v>
      </c>
      <c r="AH106">
        <f>SUM(AH104:AH105)</f>
        <v>8.1</v>
      </c>
      <c r="AI106">
        <f>SUM(AI104:AI105)</f>
        <v>8.6</v>
      </c>
      <c r="AJ106">
        <f>SUM(AJ104:AJ105)</f>
        <v>8.6999999999999993</v>
      </c>
      <c r="AK106">
        <f>SUM(AK104:AK105)</f>
        <v>8.6</v>
      </c>
      <c r="AL106" s="13">
        <v>8.4</v>
      </c>
      <c r="AM106">
        <f>SUM(AM104:AM105)</f>
        <v>8.6999999999999993</v>
      </c>
      <c r="AN106" s="13">
        <v>8.6999999999999993</v>
      </c>
      <c r="AO106" s="13">
        <v>8.6999999999999993</v>
      </c>
      <c r="AP106" s="13">
        <v>9.1</v>
      </c>
      <c r="AQ106">
        <f>SUM(AQ104:AQ105)</f>
        <v>9.1</v>
      </c>
      <c r="AR106" s="13">
        <v>9</v>
      </c>
      <c r="AS106">
        <f>SUM(AS104:AS105)</f>
        <v>8.6000000000000014</v>
      </c>
      <c r="AT106">
        <f>SUM(AT104:AT105)</f>
        <v>8.5</v>
      </c>
      <c r="AU106" s="13">
        <v>9.6</v>
      </c>
      <c r="AV106">
        <v>9.1999999999999993</v>
      </c>
      <c r="AW106">
        <v>10</v>
      </c>
      <c r="AX106">
        <v>9.5</v>
      </c>
      <c r="AY106">
        <v>9.1</v>
      </c>
      <c r="AZ106">
        <v>10</v>
      </c>
      <c r="BA106">
        <v>10.1</v>
      </c>
      <c r="BB106">
        <v>9.8000000000000007</v>
      </c>
    </row>
    <row r="107" spans="1:54" x14ac:dyDescent="0.25">
      <c r="AN107"/>
      <c r="AO107"/>
      <c r="AP107"/>
      <c r="AQ107"/>
      <c r="AR107"/>
      <c r="AS107"/>
    </row>
    <row r="108" spans="1:54" x14ac:dyDescent="0.25">
      <c r="B108" t="s">
        <v>2</v>
      </c>
      <c r="C108">
        <v>2.75</v>
      </c>
      <c r="D108">
        <v>2.75</v>
      </c>
      <c r="E108">
        <v>2.75</v>
      </c>
      <c r="F108">
        <v>2.75</v>
      </c>
      <c r="G108">
        <v>2.75</v>
      </c>
      <c r="H108">
        <v>2.75</v>
      </c>
      <c r="I108">
        <v>2.75</v>
      </c>
      <c r="J108">
        <v>2.75</v>
      </c>
      <c r="K108">
        <v>2.75</v>
      </c>
      <c r="L108">
        <v>2.75</v>
      </c>
      <c r="M108">
        <v>2.75</v>
      </c>
      <c r="N108">
        <v>2.75</v>
      </c>
      <c r="O108">
        <v>2.75</v>
      </c>
      <c r="P108">
        <v>2.75</v>
      </c>
      <c r="Q108">
        <v>2.75</v>
      </c>
      <c r="R108">
        <v>2.75</v>
      </c>
      <c r="S108">
        <v>2.75</v>
      </c>
      <c r="T108">
        <v>2.75</v>
      </c>
      <c r="U108">
        <v>2.75</v>
      </c>
      <c r="V108">
        <v>2.75</v>
      </c>
      <c r="W108">
        <v>2.75</v>
      </c>
      <c r="X108">
        <v>2.75</v>
      </c>
      <c r="Y108">
        <v>2.75</v>
      </c>
      <c r="Z108">
        <v>2.75</v>
      </c>
      <c r="AA108">
        <v>2.75</v>
      </c>
      <c r="AB108">
        <v>2.75</v>
      </c>
      <c r="AC108">
        <v>2.75</v>
      </c>
      <c r="AD108">
        <v>2.75</v>
      </c>
      <c r="AE108">
        <v>2.75</v>
      </c>
      <c r="AF108">
        <v>2.75</v>
      </c>
      <c r="AG108">
        <v>2.75</v>
      </c>
      <c r="AH108">
        <v>2.75</v>
      </c>
      <c r="AI108">
        <v>2.75</v>
      </c>
      <c r="AJ108">
        <v>2.75</v>
      </c>
      <c r="AK108">
        <v>2.75</v>
      </c>
      <c r="AL108">
        <v>2.75</v>
      </c>
      <c r="AM108">
        <v>2.75</v>
      </c>
      <c r="AN108">
        <v>2.75</v>
      </c>
      <c r="AO108">
        <v>2.75</v>
      </c>
      <c r="AP108">
        <v>2.75</v>
      </c>
      <c r="AQ108">
        <v>2.75</v>
      </c>
      <c r="AR108">
        <v>2.75</v>
      </c>
      <c r="AS108">
        <v>2.75</v>
      </c>
      <c r="AT108">
        <v>2.75</v>
      </c>
      <c r="AU108">
        <v>2.75</v>
      </c>
      <c r="AV108">
        <v>2.75</v>
      </c>
      <c r="AW108">
        <v>2.75</v>
      </c>
      <c r="AX108">
        <v>2.75</v>
      </c>
      <c r="AY108">
        <v>2.75</v>
      </c>
      <c r="AZ108">
        <v>2.75</v>
      </c>
      <c r="BA108">
        <v>2.75</v>
      </c>
      <c r="BB108">
        <v>2.75</v>
      </c>
    </row>
    <row r="109" spans="1:54" x14ac:dyDescent="0.25">
      <c r="C109">
        <f>+C106*C108</f>
        <v>19.25</v>
      </c>
      <c r="D109">
        <f>+D106*D108</f>
        <v>18.7</v>
      </c>
      <c r="E109">
        <f t="shared" ref="E109:G109" si="58">+E106*E108</f>
        <v>17.049999999999997</v>
      </c>
      <c r="F109" s="10">
        <f>+F106*F108</f>
        <v>16.774999999999999</v>
      </c>
      <c r="G109">
        <f t="shared" si="58"/>
        <v>15.95</v>
      </c>
      <c r="H109">
        <f t="shared" ref="H109:L109" si="59">+H106*H108</f>
        <v>14.575000000000003</v>
      </c>
      <c r="I109">
        <f t="shared" si="59"/>
        <v>13.75</v>
      </c>
      <c r="J109">
        <f t="shared" si="59"/>
        <v>12.649999999999999</v>
      </c>
      <c r="K109">
        <f t="shared" si="59"/>
        <v>10.725000000000001</v>
      </c>
      <c r="L109">
        <f t="shared" si="59"/>
        <v>9.625</v>
      </c>
      <c r="M109">
        <f t="shared" ref="M109:Q109" si="60">+M106*M108</f>
        <v>9.8999999999999986</v>
      </c>
      <c r="N109">
        <f t="shared" si="60"/>
        <v>9.35</v>
      </c>
      <c r="O109">
        <f t="shared" si="60"/>
        <v>10.45</v>
      </c>
      <c r="P109">
        <f t="shared" si="60"/>
        <v>11.824999999999999</v>
      </c>
      <c r="Q109">
        <f t="shared" si="60"/>
        <v>12.375</v>
      </c>
      <c r="R109">
        <f t="shared" ref="R109:V109" si="61">+R106*R108</f>
        <v>14.574999999999999</v>
      </c>
      <c r="S109">
        <f t="shared" si="61"/>
        <v>15.674999999999997</v>
      </c>
      <c r="T109">
        <f t="shared" si="61"/>
        <v>17.600000000000001</v>
      </c>
      <c r="U109">
        <f t="shared" si="61"/>
        <v>20.350000000000001</v>
      </c>
      <c r="V109">
        <f t="shared" si="61"/>
        <v>22.274999999999999</v>
      </c>
      <c r="W109">
        <f t="shared" ref="W109:AA109" si="62">+W106*W108</f>
        <v>21.725000000000001</v>
      </c>
      <c r="X109">
        <f t="shared" si="62"/>
        <v>22.825000000000003</v>
      </c>
      <c r="Y109">
        <f t="shared" si="62"/>
        <v>23.375</v>
      </c>
      <c r="Z109">
        <f t="shared" si="62"/>
        <v>22</v>
      </c>
      <c r="AA109">
        <f t="shared" si="62"/>
        <v>22.274999999999999</v>
      </c>
      <c r="AB109">
        <f t="shared" ref="AB109:AF109" si="63">+AB106*AB108</f>
        <v>20.625</v>
      </c>
      <c r="AC109">
        <f t="shared" si="63"/>
        <v>18.975000000000001</v>
      </c>
      <c r="AD109">
        <f t="shared" si="63"/>
        <v>18.975000000000001</v>
      </c>
      <c r="AE109">
        <f t="shared" si="63"/>
        <v>20.075000000000003</v>
      </c>
      <c r="AF109">
        <f t="shared" si="63"/>
        <v>20.9</v>
      </c>
      <c r="AG109">
        <f t="shared" ref="AG109:AJ109" si="64">+AG106*AG108</f>
        <v>21.45</v>
      </c>
      <c r="AH109">
        <f t="shared" si="64"/>
        <v>22.274999999999999</v>
      </c>
      <c r="AI109">
        <f t="shared" si="64"/>
        <v>23.65</v>
      </c>
      <c r="AJ109">
        <f t="shared" si="64"/>
        <v>23.924999999999997</v>
      </c>
      <c r="AK109">
        <f t="shared" ref="AK109:AO109" si="65">+AK106*AK108</f>
        <v>23.65</v>
      </c>
      <c r="AL109">
        <f t="shared" si="65"/>
        <v>23.1</v>
      </c>
      <c r="AM109">
        <f t="shared" si="65"/>
        <v>23.924999999999997</v>
      </c>
      <c r="AN109">
        <f t="shared" si="65"/>
        <v>23.924999999999997</v>
      </c>
      <c r="AO109">
        <f t="shared" si="65"/>
        <v>23.924999999999997</v>
      </c>
      <c r="AP109">
        <f t="shared" ref="AP109:AT109" si="66">+AP106*AP108</f>
        <v>25.024999999999999</v>
      </c>
      <c r="AQ109">
        <f t="shared" si="66"/>
        <v>25.024999999999999</v>
      </c>
      <c r="AR109">
        <f t="shared" si="66"/>
        <v>24.75</v>
      </c>
      <c r="AS109">
        <f t="shared" si="66"/>
        <v>23.650000000000006</v>
      </c>
      <c r="AT109">
        <f t="shared" si="66"/>
        <v>23.375</v>
      </c>
      <c r="AU109">
        <f t="shared" ref="AU109:AY109" si="67">+AU106*AU108</f>
        <v>26.4</v>
      </c>
      <c r="AV109">
        <f t="shared" si="67"/>
        <v>25.299999999999997</v>
      </c>
      <c r="AW109">
        <f t="shared" si="67"/>
        <v>27.5</v>
      </c>
      <c r="AX109">
        <f t="shared" si="67"/>
        <v>26.125</v>
      </c>
      <c r="AY109">
        <f t="shared" si="67"/>
        <v>25.024999999999999</v>
      </c>
      <c r="AZ109">
        <f>+AZ106*AZ108</f>
        <v>27.5</v>
      </c>
      <c r="BA109">
        <f>+BA106*BA108</f>
        <v>27.774999999999999</v>
      </c>
      <c r="BB109">
        <f>+BB106*BB108</f>
        <v>26.950000000000003</v>
      </c>
    </row>
    <row r="110" spans="1:54" x14ac:dyDescent="0.25">
      <c r="AN110"/>
      <c r="AO110"/>
      <c r="AP110"/>
      <c r="AQ110"/>
      <c r="AR110"/>
      <c r="AS110"/>
    </row>
    <row r="111" spans="1:54" x14ac:dyDescent="0.25">
      <c r="A111" t="s">
        <v>1</v>
      </c>
      <c r="AN111"/>
      <c r="AO111"/>
      <c r="AP111"/>
      <c r="AQ111"/>
      <c r="AR111"/>
      <c r="AS111"/>
    </row>
    <row r="112" spans="1:54" x14ac:dyDescent="0.25">
      <c r="B112" t="s">
        <v>3</v>
      </c>
      <c r="C112">
        <v>5.2</v>
      </c>
      <c r="D112">
        <v>5.6</v>
      </c>
      <c r="E112">
        <v>4.9000000000000004</v>
      </c>
      <c r="F112">
        <v>4.7</v>
      </c>
      <c r="G112">
        <v>4.8</v>
      </c>
      <c r="H112">
        <v>4.4000000000000004</v>
      </c>
      <c r="I112">
        <v>4.9000000000000004</v>
      </c>
      <c r="J112">
        <v>4.5</v>
      </c>
      <c r="K112">
        <v>3.9</v>
      </c>
      <c r="L112">
        <v>3.4</v>
      </c>
      <c r="M112">
        <v>3.3</v>
      </c>
      <c r="N112">
        <v>3.2</v>
      </c>
      <c r="O112">
        <v>3.2</v>
      </c>
      <c r="P112">
        <v>3.7</v>
      </c>
      <c r="Q112">
        <v>3.8</v>
      </c>
      <c r="R112">
        <v>4.3</v>
      </c>
      <c r="S112">
        <v>5</v>
      </c>
      <c r="T112">
        <v>4.7</v>
      </c>
      <c r="U112">
        <v>5.0999999999999996</v>
      </c>
      <c r="V112">
        <v>5.2</v>
      </c>
      <c r="W112">
        <v>5.0999999999999996</v>
      </c>
      <c r="X112">
        <v>5.5</v>
      </c>
      <c r="Y112">
        <v>5.5</v>
      </c>
      <c r="Z112">
        <v>5.5</v>
      </c>
      <c r="AA112">
        <v>5.6</v>
      </c>
      <c r="AB112">
        <v>5.4</v>
      </c>
      <c r="AC112">
        <v>5.5</v>
      </c>
      <c r="AD112">
        <v>5.8</v>
      </c>
      <c r="AE112">
        <v>5.0999999999999996</v>
      </c>
      <c r="AF112">
        <v>6.3</v>
      </c>
      <c r="AG112">
        <v>6</v>
      </c>
      <c r="AH112">
        <v>3.3</v>
      </c>
      <c r="AI112">
        <v>6.1</v>
      </c>
      <c r="AJ112">
        <v>6.6</v>
      </c>
      <c r="AK112">
        <v>6.6</v>
      </c>
      <c r="AL112">
        <v>6.7</v>
      </c>
      <c r="AM112">
        <v>6.6</v>
      </c>
      <c r="AN112">
        <v>7.6</v>
      </c>
      <c r="AO112">
        <v>8</v>
      </c>
      <c r="AP112">
        <v>8</v>
      </c>
      <c r="AQ112">
        <v>7.7</v>
      </c>
      <c r="AR112">
        <v>7.8</v>
      </c>
      <c r="AS112">
        <v>7.3</v>
      </c>
      <c r="AT112">
        <v>7.6</v>
      </c>
      <c r="AU112">
        <v>7.6</v>
      </c>
      <c r="AV112">
        <v>7.9</v>
      </c>
      <c r="AW112">
        <v>7.6</v>
      </c>
      <c r="AX112">
        <v>8</v>
      </c>
      <c r="AY112">
        <v>8.1999999999999993</v>
      </c>
      <c r="AZ112">
        <v>8.6999999999999993</v>
      </c>
      <c r="BA112">
        <v>8.6</v>
      </c>
      <c r="BB112">
        <v>8.5</v>
      </c>
    </row>
    <row r="113" spans="1:54" x14ac:dyDescent="0.25">
      <c r="B113" t="s">
        <v>4</v>
      </c>
      <c r="C113">
        <v>4.9000000000000004</v>
      </c>
      <c r="D113">
        <v>4.7</v>
      </c>
      <c r="E113">
        <v>4.5999999999999996</v>
      </c>
      <c r="F113">
        <v>4.3</v>
      </c>
      <c r="G113">
        <v>3.6</v>
      </c>
      <c r="H113">
        <v>3.5</v>
      </c>
      <c r="I113">
        <v>2.6</v>
      </c>
      <c r="J113">
        <v>2.5</v>
      </c>
      <c r="K113">
        <v>1.7</v>
      </c>
      <c r="L113">
        <v>1.5</v>
      </c>
      <c r="M113">
        <v>1.5</v>
      </c>
      <c r="N113">
        <v>1.2</v>
      </c>
      <c r="O113">
        <v>1.5</v>
      </c>
      <c r="P113">
        <v>1.7</v>
      </c>
      <c r="Q113">
        <v>2.2000000000000002</v>
      </c>
      <c r="R113">
        <v>2.5</v>
      </c>
      <c r="S113">
        <v>2</v>
      </c>
      <c r="T113">
        <v>2.2999999999999998</v>
      </c>
      <c r="U113">
        <v>2.4</v>
      </c>
      <c r="V113">
        <v>2.4</v>
      </c>
      <c r="W113">
        <v>2.2999999999999998</v>
      </c>
      <c r="X113">
        <v>2.1</v>
      </c>
      <c r="Y113">
        <v>2.1</v>
      </c>
      <c r="Z113">
        <v>2.4</v>
      </c>
      <c r="AA113">
        <v>2.4</v>
      </c>
      <c r="AB113">
        <v>2.7</v>
      </c>
      <c r="AC113">
        <v>2.6</v>
      </c>
      <c r="AD113">
        <v>2.4</v>
      </c>
      <c r="AE113">
        <v>3.4</v>
      </c>
      <c r="AF113">
        <v>2.5</v>
      </c>
      <c r="AG113">
        <v>2.6</v>
      </c>
      <c r="AH113">
        <v>5.7</v>
      </c>
      <c r="AI113">
        <v>3.3</v>
      </c>
      <c r="AJ113">
        <v>3</v>
      </c>
      <c r="AK113">
        <v>3</v>
      </c>
      <c r="AL113">
        <v>3.3</v>
      </c>
      <c r="AM113">
        <v>3.5</v>
      </c>
      <c r="AN113">
        <v>3.5</v>
      </c>
      <c r="AO113">
        <v>3</v>
      </c>
      <c r="AP113">
        <v>3</v>
      </c>
      <c r="AQ113">
        <v>3</v>
      </c>
      <c r="AR113">
        <v>3.2</v>
      </c>
      <c r="AS113">
        <v>3.7</v>
      </c>
      <c r="AT113">
        <v>3.8</v>
      </c>
      <c r="AU113">
        <v>4.8</v>
      </c>
      <c r="AV113">
        <v>4.5999999999999996</v>
      </c>
      <c r="AW113">
        <v>4.5</v>
      </c>
      <c r="AX113">
        <v>3.9</v>
      </c>
      <c r="AY113">
        <v>3.6</v>
      </c>
      <c r="AZ113">
        <v>6.7</v>
      </c>
      <c r="BA113">
        <v>6</v>
      </c>
      <c r="BB113">
        <v>5.6</v>
      </c>
    </row>
    <row r="114" spans="1:54" x14ac:dyDescent="0.25">
      <c r="B114" t="s">
        <v>5</v>
      </c>
      <c r="C114">
        <f>SUM(C112:C113)</f>
        <v>10.100000000000001</v>
      </c>
      <c r="D114">
        <f>SUM(D112:D113)</f>
        <v>10.3</v>
      </c>
      <c r="E114">
        <f>SUM(E112:E113)</f>
        <v>9.5</v>
      </c>
      <c r="F114">
        <v>9</v>
      </c>
      <c r="G114">
        <f t="shared" ref="G114:L114" si="68">SUM(G112:G113)</f>
        <v>8.4</v>
      </c>
      <c r="H114">
        <f t="shared" si="68"/>
        <v>7.9</v>
      </c>
      <c r="I114">
        <f t="shared" si="68"/>
        <v>7.5</v>
      </c>
      <c r="J114">
        <f t="shared" si="68"/>
        <v>7</v>
      </c>
      <c r="K114">
        <f t="shared" si="68"/>
        <v>5.6</v>
      </c>
      <c r="L114">
        <f t="shared" si="68"/>
        <v>4.9000000000000004</v>
      </c>
      <c r="M114">
        <f t="shared" ref="M114:R114" si="69">SUM(M112:M113)</f>
        <v>4.8</v>
      </c>
      <c r="N114">
        <f t="shared" si="69"/>
        <v>4.4000000000000004</v>
      </c>
      <c r="O114">
        <f t="shared" si="69"/>
        <v>4.7</v>
      </c>
      <c r="P114">
        <f t="shared" si="69"/>
        <v>5.4</v>
      </c>
      <c r="Q114">
        <f t="shared" si="69"/>
        <v>6</v>
      </c>
      <c r="R114">
        <f t="shared" si="69"/>
        <v>6.8</v>
      </c>
      <c r="S114">
        <f>SUM(S112:S113)</f>
        <v>7</v>
      </c>
      <c r="T114">
        <f>SUM(T112:T113)</f>
        <v>7</v>
      </c>
      <c r="U114">
        <f>SUM(U112:U113)</f>
        <v>7.5</v>
      </c>
      <c r="V114">
        <v>7.6</v>
      </c>
      <c r="W114">
        <v>7.4</v>
      </c>
      <c r="X114">
        <f t="shared" ref="X114:AC114" si="70">SUM(X112:X113)</f>
        <v>7.6</v>
      </c>
      <c r="Y114">
        <f t="shared" si="70"/>
        <v>7.6</v>
      </c>
      <c r="Z114">
        <f t="shared" si="70"/>
        <v>7.9</v>
      </c>
      <c r="AA114">
        <f t="shared" si="70"/>
        <v>8</v>
      </c>
      <c r="AB114">
        <f t="shared" si="70"/>
        <v>8.1000000000000014</v>
      </c>
      <c r="AC114">
        <f t="shared" si="70"/>
        <v>8.1</v>
      </c>
      <c r="AD114">
        <f>SUM(AD112:AD113)</f>
        <v>8.1999999999999993</v>
      </c>
      <c r="AE114">
        <f>SUM(AE112:AE113)</f>
        <v>8.5</v>
      </c>
      <c r="AF114">
        <v>8.8000000000000007</v>
      </c>
      <c r="AG114">
        <v>8.6</v>
      </c>
      <c r="AH114">
        <f>SUM(AH112:AH113)</f>
        <v>9</v>
      </c>
      <c r="AI114">
        <f>SUM(AI112:AI113)</f>
        <v>9.3999999999999986</v>
      </c>
      <c r="AJ114">
        <f>SUM(AJ112:AJ113)</f>
        <v>9.6</v>
      </c>
      <c r="AK114">
        <f>SUM(AK112:AK113)</f>
        <v>9.6</v>
      </c>
      <c r="AL114">
        <v>10</v>
      </c>
      <c r="AM114">
        <f>SUM(AM112:AM113)</f>
        <v>10.1</v>
      </c>
      <c r="AN114">
        <v>10.9</v>
      </c>
      <c r="AO114">
        <v>11</v>
      </c>
      <c r="AP114">
        <v>11</v>
      </c>
      <c r="AQ114">
        <f>SUM(AQ112:AQ113)</f>
        <v>10.7</v>
      </c>
      <c r="AR114">
        <v>11</v>
      </c>
      <c r="AS114">
        <f>SUM(AS112:AS113)</f>
        <v>11</v>
      </c>
      <c r="AT114">
        <f>SUM(AT112:AT113)</f>
        <v>11.399999999999999</v>
      </c>
      <c r="AU114">
        <v>12.4</v>
      </c>
      <c r="AV114">
        <v>12.5</v>
      </c>
      <c r="AW114">
        <v>12.1</v>
      </c>
      <c r="AX114">
        <v>11.9</v>
      </c>
      <c r="AY114">
        <v>11.8</v>
      </c>
      <c r="AZ114">
        <v>15.4</v>
      </c>
      <c r="BA114">
        <v>14.6</v>
      </c>
      <c r="BB114">
        <v>14.1</v>
      </c>
    </row>
    <row r="115" spans="1:54" x14ac:dyDescent="0.25">
      <c r="AN115"/>
      <c r="AO115"/>
      <c r="AP115"/>
      <c r="AQ115"/>
      <c r="AR115"/>
      <c r="AS115"/>
    </row>
    <row r="116" spans="1:54" x14ac:dyDescent="0.25">
      <c r="B116" t="s">
        <v>2</v>
      </c>
      <c r="C116">
        <v>3.25</v>
      </c>
      <c r="D116">
        <v>3.25</v>
      </c>
      <c r="E116">
        <v>3.25</v>
      </c>
      <c r="F116">
        <v>3.25</v>
      </c>
      <c r="G116">
        <v>3.25</v>
      </c>
      <c r="H116">
        <v>3.25</v>
      </c>
      <c r="I116">
        <v>3.25</v>
      </c>
      <c r="J116">
        <v>3.25</v>
      </c>
      <c r="K116">
        <v>3.75</v>
      </c>
      <c r="L116">
        <v>3.75</v>
      </c>
      <c r="M116">
        <v>3.75</v>
      </c>
      <c r="N116">
        <v>3.75</v>
      </c>
      <c r="O116">
        <v>3.75</v>
      </c>
      <c r="P116">
        <v>3.75</v>
      </c>
      <c r="Q116">
        <v>3.75</v>
      </c>
      <c r="R116">
        <v>3.75</v>
      </c>
      <c r="S116">
        <v>3.75</v>
      </c>
      <c r="T116">
        <v>3.75</v>
      </c>
      <c r="U116">
        <v>3.75</v>
      </c>
      <c r="V116">
        <v>3.75</v>
      </c>
      <c r="W116">
        <v>3.75</v>
      </c>
      <c r="X116">
        <v>3.75</v>
      </c>
      <c r="Y116">
        <v>3.75</v>
      </c>
      <c r="Z116">
        <v>3.75</v>
      </c>
      <c r="AA116">
        <v>3.75</v>
      </c>
      <c r="AB116">
        <v>3.75</v>
      </c>
      <c r="AC116">
        <v>3.75</v>
      </c>
      <c r="AD116">
        <v>3.75</v>
      </c>
      <c r="AE116">
        <v>3.75</v>
      </c>
      <c r="AF116">
        <v>3.75</v>
      </c>
      <c r="AG116">
        <v>3.75</v>
      </c>
      <c r="AH116">
        <v>3.75</v>
      </c>
      <c r="AI116">
        <v>3.75</v>
      </c>
      <c r="AJ116">
        <v>3.75</v>
      </c>
      <c r="AK116">
        <v>3.75</v>
      </c>
      <c r="AL116">
        <v>3.75</v>
      </c>
      <c r="AM116">
        <v>3.75</v>
      </c>
      <c r="AN116">
        <v>3.75</v>
      </c>
      <c r="AO116">
        <v>3.75</v>
      </c>
      <c r="AP116">
        <v>3.75</v>
      </c>
      <c r="AQ116">
        <v>3.75</v>
      </c>
      <c r="AR116">
        <v>3.75</v>
      </c>
      <c r="AS116">
        <v>3.75</v>
      </c>
      <c r="AT116">
        <v>3.75</v>
      </c>
      <c r="AU116">
        <v>3.75</v>
      </c>
      <c r="AV116">
        <v>4</v>
      </c>
      <c r="AW116">
        <v>4</v>
      </c>
      <c r="AX116">
        <v>4</v>
      </c>
      <c r="AY116">
        <v>4</v>
      </c>
      <c r="AZ116">
        <v>4</v>
      </c>
      <c r="BA116">
        <v>4</v>
      </c>
      <c r="BB116">
        <v>4</v>
      </c>
    </row>
    <row r="117" spans="1:54" x14ac:dyDescent="0.25">
      <c r="C117">
        <f t="shared" ref="C117:G117" si="71">+C114*C116</f>
        <v>32.825000000000003</v>
      </c>
      <c r="D117">
        <f>+D114*D116</f>
        <v>33.475000000000001</v>
      </c>
      <c r="E117">
        <f t="shared" si="71"/>
        <v>30.875</v>
      </c>
      <c r="F117">
        <f t="shared" si="71"/>
        <v>29.25</v>
      </c>
      <c r="G117">
        <f t="shared" si="71"/>
        <v>27.3</v>
      </c>
      <c r="H117">
        <f t="shared" ref="H117:L117" si="72">+H114*H116</f>
        <v>25.675000000000001</v>
      </c>
      <c r="I117">
        <f t="shared" si="72"/>
        <v>24.375</v>
      </c>
      <c r="J117">
        <f>+J114*J116</f>
        <v>22.75</v>
      </c>
      <c r="K117">
        <f>+K114*K116</f>
        <v>21</v>
      </c>
      <c r="L117">
        <f t="shared" si="72"/>
        <v>18.375</v>
      </c>
      <c r="M117">
        <f t="shared" ref="M117:Q117" si="73">+M114*M116</f>
        <v>18</v>
      </c>
      <c r="N117">
        <f t="shared" si="73"/>
        <v>16.5</v>
      </c>
      <c r="O117">
        <f t="shared" si="73"/>
        <v>17.625</v>
      </c>
      <c r="P117">
        <f t="shared" si="73"/>
        <v>20.25</v>
      </c>
      <c r="Q117">
        <f t="shared" si="73"/>
        <v>22.5</v>
      </c>
      <c r="R117">
        <f t="shared" ref="R117:V117" si="74">+R114*R116</f>
        <v>25.5</v>
      </c>
      <c r="S117">
        <f t="shared" si="74"/>
        <v>26.25</v>
      </c>
      <c r="T117">
        <f t="shared" si="74"/>
        <v>26.25</v>
      </c>
      <c r="U117">
        <f t="shared" si="74"/>
        <v>28.125</v>
      </c>
      <c r="V117">
        <f t="shared" si="74"/>
        <v>28.5</v>
      </c>
      <c r="W117">
        <f t="shared" ref="W117:AA117" si="75">+W114*W116</f>
        <v>27.75</v>
      </c>
      <c r="X117">
        <f t="shared" si="75"/>
        <v>28.5</v>
      </c>
      <c r="Y117">
        <f t="shared" si="75"/>
        <v>28.5</v>
      </c>
      <c r="Z117">
        <f t="shared" si="75"/>
        <v>29.625</v>
      </c>
      <c r="AA117">
        <f t="shared" si="75"/>
        <v>30</v>
      </c>
      <c r="AB117">
        <f t="shared" ref="AB117:AF117" si="76">+AB114*AB116</f>
        <v>30.375000000000007</v>
      </c>
      <c r="AC117">
        <f t="shared" si="76"/>
        <v>30.375</v>
      </c>
      <c r="AD117">
        <f t="shared" si="76"/>
        <v>30.749999999999996</v>
      </c>
      <c r="AE117">
        <f t="shared" si="76"/>
        <v>31.875</v>
      </c>
      <c r="AF117">
        <f t="shared" si="76"/>
        <v>33</v>
      </c>
      <c r="AG117">
        <f t="shared" ref="AG117:AK117" si="77">+AG114*AG116</f>
        <v>32.25</v>
      </c>
      <c r="AH117">
        <f t="shared" si="77"/>
        <v>33.75</v>
      </c>
      <c r="AI117">
        <f t="shared" si="77"/>
        <v>35.249999999999993</v>
      </c>
      <c r="AJ117">
        <f t="shared" si="77"/>
        <v>36</v>
      </c>
      <c r="AK117">
        <f t="shared" si="77"/>
        <v>36</v>
      </c>
      <c r="AL117">
        <f t="shared" ref="AL117:AP117" si="78">+AL114*AL116</f>
        <v>37.5</v>
      </c>
      <c r="AM117">
        <f t="shared" si="78"/>
        <v>37.875</v>
      </c>
      <c r="AN117">
        <f t="shared" si="78"/>
        <v>40.875</v>
      </c>
      <c r="AO117">
        <f t="shared" si="78"/>
        <v>41.25</v>
      </c>
      <c r="AP117">
        <f t="shared" si="78"/>
        <v>41.25</v>
      </c>
      <c r="AQ117">
        <f t="shared" ref="AQ117:AU117" si="79">+AQ114*AQ116</f>
        <v>40.125</v>
      </c>
      <c r="AR117">
        <f t="shared" si="79"/>
        <v>41.25</v>
      </c>
      <c r="AS117">
        <f t="shared" si="79"/>
        <v>41.25</v>
      </c>
      <c r="AT117">
        <f t="shared" si="79"/>
        <v>42.749999999999993</v>
      </c>
      <c r="AU117">
        <f t="shared" si="79"/>
        <v>46.5</v>
      </c>
      <c r="AV117">
        <f t="shared" ref="AV117:AZ117" si="80">+AV114*AV116</f>
        <v>50</v>
      </c>
      <c r="AW117">
        <f t="shared" si="80"/>
        <v>48.4</v>
      </c>
      <c r="AX117">
        <f t="shared" si="80"/>
        <v>47.6</v>
      </c>
      <c r="AY117">
        <f t="shared" si="80"/>
        <v>47.2</v>
      </c>
      <c r="AZ117">
        <f t="shared" si="80"/>
        <v>61.6</v>
      </c>
      <c r="BA117">
        <f>+BA114*BA116</f>
        <v>58.4</v>
      </c>
      <c r="BB117">
        <f>+BB114*BB116</f>
        <v>56.4</v>
      </c>
    </row>
    <row r="118" spans="1:54" x14ac:dyDescent="0.25">
      <c r="AN118"/>
      <c r="AO118"/>
      <c r="AP118"/>
      <c r="AQ118"/>
      <c r="AR118"/>
      <c r="AS118"/>
    </row>
    <row r="119" spans="1:54" x14ac:dyDescent="0.25">
      <c r="AN119"/>
      <c r="AO119"/>
      <c r="AP119"/>
      <c r="AQ119"/>
      <c r="AR119"/>
      <c r="AS119"/>
    </row>
    <row r="120" spans="1:54" x14ac:dyDescent="0.25">
      <c r="B120" s="2">
        <v>2020</v>
      </c>
      <c r="C120" s="1">
        <v>43834</v>
      </c>
      <c r="D120" s="1">
        <f>+C120+7</f>
        <v>43841</v>
      </c>
      <c r="E120" s="1">
        <f>+D120+7</f>
        <v>43848</v>
      </c>
      <c r="F120" s="1">
        <f t="shared" ref="F120:AB120" si="81">+E120+7</f>
        <v>43855</v>
      </c>
      <c r="G120" s="1">
        <f t="shared" si="81"/>
        <v>43862</v>
      </c>
      <c r="H120" s="1">
        <f t="shared" si="81"/>
        <v>43869</v>
      </c>
      <c r="I120" s="1">
        <f t="shared" si="81"/>
        <v>43876</v>
      </c>
      <c r="J120" s="1">
        <f t="shared" si="81"/>
        <v>43883</v>
      </c>
      <c r="K120" s="1">
        <f t="shared" si="81"/>
        <v>43890</v>
      </c>
      <c r="L120" s="1">
        <f t="shared" si="81"/>
        <v>43897</v>
      </c>
      <c r="M120" s="1">
        <f t="shared" si="81"/>
        <v>43904</v>
      </c>
      <c r="N120" s="1">
        <f t="shared" si="81"/>
        <v>43911</v>
      </c>
      <c r="O120" s="1">
        <f>+N120+7</f>
        <v>43918</v>
      </c>
      <c r="P120" s="1">
        <f t="shared" si="81"/>
        <v>43925</v>
      </c>
      <c r="Q120" s="1">
        <f t="shared" si="81"/>
        <v>43932</v>
      </c>
      <c r="R120" s="1">
        <f t="shared" si="81"/>
        <v>43939</v>
      </c>
      <c r="S120" s="1">
        <f t="shared" si="81"/>
        <v>43946</v>
      </c>
      <c r="T120" s="1">
        <f t="shared" si="81"/>
        <v>43953</v>
      </c>
      <c r="U120" s="1">
        <f t="shared" si="81"/>
        <v>43960</v>
      </c>
      <c r="V120" s="1">
        <f t="shared" si="81"/>
        <v>43967</v>
      </c>
      <c r="W120" s="1">
        <f t="shared" si="81"/>
        <v>43974</v>
      </c>
      <c r="X120" s="1">
        <f t="shared" si="81"/>
        <v>43981</v>
      </c>
      <c r="Y120" s="1">
        <f t="shared" si="81"/>
        <v>43988</v>
      </c>
      <c r="Z120" s="1">
        <f t="shared" si="81"/>
        <v>43995</v>
      </c>
      <c r="AA120" s="1">
        <f t="shared" si="81"/>
        <v>44002</v>
      </c>
      <c r="AB120" s="1">
        <f t="shared" si="81"/>
        <v>44009</v>
      </c>
      <c r="AC120" s="1">
        <f>+AB120+7</f>
        <v>44016</v>
      </c>
      <c r="AD120" s="1">
        <f t="shared" ref="AD120:AL120" si="82">+AC120+7</f>
        <v>44023</v>
      </c>
      <c r="AE120" s="1">
        <f t="shared" si="82"/>
        <v>44030</v>
      </c>
      <c r="AF120" s="1">
        <f t="shared" si="82"/>
        <v>44037</v>
      </c>
      <c r="AG120" s="1">
        <f t="shared" si="82"/>
        <v>44044</v>
      </c>
      <c r="AH120" s="1">
        <f t="shared" si="82"/>
        <v>44051</v>
      </c>
      <c r="AI120" s="1">
        <f t="shared" si="82"/>
        <v>44058</v>
      </c>
      <c r="AJ120" s="1">
        <f t="shared" si="82"/>
        <v>44065</v>
      </c>
      <c r="AK120" s="1">
        <f t="shared" si="82"/>
        <v>44072</v>
      </c>
      <c r="AL120" s="1">
        <f t="shared" si="82"/>
        <v>44079</v>
      </c>
      <c r="AM120" s="1">
        <f>+AL120+7</f>
        <v>44086</v>
      </c>
      <c r="AN120" s="1">
        <v>44093</v>
      </c>
      <c r="AO120" s="1">
        <v>44100</v>
      </c>
      <c r="AP120" s="1">
        <v>44107</v>
      </c>
      <c r="AQ120" s="1">
        <v>44114</v>
      </c>
      <c r="AR120" s="1">
        <v>44121</v>
      </c>
      <c r="AS120" s="1">
        <v>44128</v>
      </c>
      <c r="AT120" s="1">
        <v>44135</v>
      </c>
      <c r="AU120" s="1">
        <v>44142</v>
      </c>
      <c r="AV120" s="1">
        <v>44149</v>
      </c>
      <c r="AW120" s="1">
        <v>44156</v>
      </c>
      <c r="AX120" s="1">
        <v>44163</v>
      </c>
      <c r="AY120" s="1">
        <v>44170</v>
      </c>
      <c r="AZ120" s="1">
        <v>44177</v>
      </c>
      <c r="BA120" s="1">
        <v>44184</v>
      </c>
      <c r="BB120" s="1">
        <v>44191</v>
      </c>
    </row>
    <row r="122" spans="1:54" x14ac:dyDescent="0.25">
      <c r="A122" t="s">
        <v>0</v>
      </c>
    </row>
    <row r="123" spans="1:54" x14ac:dyDescent="0.25">
      <c r="B123" t="s">
        <v>3</v>
      </c>
      <c r="C123" s="3">
        <v>2.4</v>
      </c>
      <c r="D123" s="3">
        <v>1.9</v>
      </c>
      <c r="E123" s="3">
        <v>1.6</v>
      </c>
      <c r="F123" s="3">
        <v>1.3</v>
      </c>
      <c r="G123" s="3">
        <v>1</v>
      </c>
      <c r="H123" s="3">
        <v>1.2</v>
      </c>
      <c r="I123" s="3">
        <v>1.1000000000000001</v>
      </c>
      <c r="J123" s="3">
        <v>1.2</v>
      </c>
      <c r="K123" s="3">
        <v>0.9</v>
      </c>
      <c r="L123" s="3">
        <v>1.2</v>
      </c>
      <c r="M123" s="3">
        <v>1.3</v>
      </c>
      <c r="N123" s="3">
        <v>0.6</v>
      </c>
      <c r="O123" s="3">
        <v>0.7</v>
      </c>
      <c r="P123" s="3">
        <v>0.9</v>
      </c>
      <c r="Q123" s="3">
        <v>1.5</v>
      </c>
      <c r="R123" s="3">
        <v>2</v>
      </c>
      <c r="S123" s="3">
        <v>2</v>
      </c>
      <c r="T123" s="3">
        <v>3.2</v>
      </c>
      <c r="U123" s="3">
        <v>3.3</v>
      </c>
      <c r="V123" s="3"/>
      <c r="W123" s="3">
        <v>3</v>
      </c>
      <c r="X123" s="3">
        <v>3.3</v>
      </c>
      <c r="Y123" s="3">
        <v>3.5</v>
      </c>
      <c r="Z123" s="3">
        <v>3.5</v>
      </c>
      <c r="AA123" s="3">
        <v>3</v>
      </c>
      <c r="AB123" s="3">
        <v>4</v>
      </c>
      <c r="AC123" s="3">
        <v>4.3</v>
      </c>
      <c r="AD123" s="3">
        <v>4.2</v>
      </c>
      <c r="AE123" s="3">
        <v>3.6</v>
      </c>
      <c r="AF123" s="3">
        <v>3.6</v>
      </c>
      <c r="AG123" s="3">
        <v>3.4</v>
      </c>
      <c r="AH123" s="3">
        <v>3.5</v>
      </c>
      <c r="AI123" s="3">
        <v>4.0999999999999996</v>
      </c>
      <c r="AJ123" s="3">
        <v>3.5</v>
      </c>
      <c r="AK123" s="3">
        <v>3.2</v>
      </c>
      <c r="AL123" s="3">
        <v>3.9</v>
      </c>
      <c r="AM123" s="3">
        <v>4.7</v>
      </c>
      <c r="AN123" s="10">
        <v>4.3</v>
      </c>
      <c r="AO123" s="10">
        <v>4.5999999999999996</v>
      </c>
      <c r="AP123" s="10">
        <v>5</v>
      </c>
      <c r="AQ123" s="10">
        <v>5.5</v>
      </c>
      <c r="AR123" s="10">
        <v>5.3</v>
      </c>
      <c r="AS123" s="10">
        <v>4.9000000000000004</v>
      </c>
      <c r="AT123" s="10">
        <v>5.3</v>
      </c>
      <c r="AU123" s="10">
        <v>6.6</v>
      </c>
      <c r="AV123" s="10">
        <v>6.4</v>
      </c>
      <c r="AW123" s="10">
        <v>6.3</v>
      </c>
      <c r="AX123" s="10">
        <v>6.6</v>
      </c>
      <c r="AY123" s="10">
        <v>6.3</v>
      </c>
      <c r="AZ123" s="10">
        <v>6.5</v>
      </c>
      <c r="BA123" s="10">
        <v>5</v>
      </c>
      <c r="BB123" s="10">
        <v>5</v>
      </c>
    </row>
    <row r="124" spans="1:54" x14ac:dyDescent="0.25">
      <c r="B124" t="s">
        <v>4</v>
      </c>
      <c r="C124" s="3">
        <v>2.5</v>
      </c>
      <c r="D124" s="3">
        <v>2.7</v>
      </c>
      <c r="E124" s="3">
        <v>2.5</v>
      </c>
      <c r="F124" s="3">
        <v>2.5</v>
      </c>
      <c r="G124" s="3">
        <v>1.8</v>
      </c>
      <c r="H124" s="3">
        <v>1.9</v>
      </c>
      <c r="I124" s="3">
        <v>2.1</v>
      </c>
      <c r="J124" s="3">
        <v>1.6</v>
      </c>
      <c r="K124" s="3">
        <v>1.4</v>
      </c>
      <c r="L124" s="3">
        <v>1</v>
      </c>
      <c r="M124" s="3">
        <v>1</v>
      </c>
      <c r="N124" s="3">
        <v>1.8</v>
      </c>
      <c r="O124" s="3">
        <v>1.7</v>
      </c>
      <c r="P124" s="3">
        <v>1.5</v>
      </c>
      <c r="Q124" s="3">
        <v>1.2</v>
      </c>
      <c r="R124" s="3">
        <v>2.1</v>
      </c>
      <c r="S124" s="3">
        <v>2.4</v>
      </c>
      <c r="T124" s="3">
        <v>1.8</v>
      </c>
      <c r="U124" s="3">
        <v>2</v>
      </c>
      <c r="V124" s="3"/>
      <c r="W124" s="3">
        <v>2.9</v>
      </c>
      <c r="X124" s="3">
        <v>2.6</v>
      </c>
      <c r="Y124" s="3">
        <v>2.9</v>
      </c>
      <c r="Z124" s="3">
        <v>3.1</v>
      </c>
      <c r="AA124" s="3">
        <v>3.3</v>
      </c>
      <c r="AB124" s="3">
        <v>2.6</v>
      </c>
      <c r="AC124" s="3">
        <v>2.6</v>
      </c>
      <c r="AD124" s="3">
        <v>2.6</v>
      </c>
      <c r="AE124" s="3">
        <v>2.2999999999999998</v>
      </c>
      <c r="AF124" s="3">
        <v>1.9</v>
      </c>
      <c r="AG124" s="3">
        <v>1.8</v>
      </c>
      <c r="AH124" s="3">
        <v>1.6</v>
      </c>
      <c r="AI124" s="3">
        <v>1.2</v>
      </c>
      <c r="AJ124" s="3">
        <v>2.1</v>
      </c>
      <c r="AK124" s="3">
        <v>2.5</v>
      </c>
      <c r="AL124" s="3">
        <v>2.4</v>
      </c>
      <c r="AM124" s="3">
        <v>2.6</v>
      </c>
      <c r="AN124" s="10">
        <v>3</v>
      </c>
      <c r="AO124" s="10">
        <v>2.9</v>
      </c>
      <c r="AP124" s="10">
        <v>2.8</v>
      </c>
      <c r="AQ124" s="10">
        <v>2.8</v>
      </c>
      <c r="AR124" s="10">
        <v>3.5</v>
      </c>
      <c r="AS124" s="10">
        <v>4.3</v>
      </c>
      <c r="AT124" s="10">
        <v>3.2</v>
      </c>
      <c r="AU124" s="10">
        <v>2.8</v>
      </c>
      <c r="AV124" s="10">
        <v>3</v>
      </c>
      <c r="AW124" s="10">
        <v>3.5</v>
      </c>
      <c r="AX124" s="10">
        <v>2.8</v>
      </c>
      <c r="AY124" s="10">
        <v>3</v>
      </c>
      <c r="AZ124" s="10">
        <v>2.4</v>
      </c>
      <c r="BA124" s="10">
        <v>2.5</v>
      </c>
      <c r="BB124" s="10">
        <v>2.5</v>
      </c>
    </row>
    <row r="125" spans="1:54" x14ac:dyDescent="0.25">
      <c r="B125" t="s">
        <v>5</v>
      </c>
      <c r="C125" s="3">
        <f>+C123+C124</f>
        <v>4.9000000000000004</v>
      </c>
      <c r="D125" s="3">
        <f t="shared" ref="D125:AC125" si="83">+D123+D124</f>
        <v>4.5999999999999996</v>
      </c>
      <c r="E125" s="3">
        <f t="shared" si="83"/>
        <v>4.0999999999999996</v>
      </c>
      <c r="F125" s="3">
        <f t="shared" si="83"/>
        <v>3.8</v>
      </c>
      <c r="G125" s="3">
        <f t="shared" si="83"/>
        <v>2.8</v>
      </c>
      <c r="H125" s="3">
        <f t="shared" si="83"/>
        <v>3.0999999999999996</v>
      </c>
      <c r="I125" s="3">
        <f t="shared" si="83"/>
        <v>3.2</v>
      </c>
      <c r="J125" s="3">
        <f t="shared" si="83"/>
        <v>2.8</v>
      </c>
      <c r="K125" s="3">
        <f t="shared" si="83"/>
        <v>2.2999999999999998</v>
      </c>
      <c r="L125" s="3">
        <f t="shared" si="83"/>
        <v>2.2000000000000002</v>
      </c>
      <c r="M125" s="3">
        <f t="shared" si="83"/>
        <v>2.2999999999999998</v>
      </c>
      <c r="N125" s="3">
        <f t="shared" si="83"/>
        <v>2.4</v>
      </c>
      <c r="O125" s="3">
        <f t="shared" si="83"/>
        <v>2.4</v>
      </c>
      <c r="P125" s="3">
        <f t="shared" si="83"/>
        <v>2.4</v>
      </c>
      <c r="Q125" s="3">
        <f t="shared" si="83"/>
        <v>2.7</v>
      </c>
      <c r="R125" s="3">
        <f t="shared" si="83"/>
        <v>4.0999999999999996</v>
      </c>
      <c r="S125" s="3">
        <f t="shared" si="83"/>
        <v>4.4000000000000004</v>
      </c>
      <c r="T125" s="3">
        <f t="shared" si="83"/>
        <v>5</v>
      </c>
      <c r="U125" s="3">
        <f t="shared" si="83"/>
        <v>5.3</v>
      </c>
      <c r="V125" s="3">
        <f t="shared" si="83"/>
        <v>0</v>
      </c>
      <c r="W125" s="3">
        <f t="shared" si="83"/>
        <v>5.9</v>
      </c>
      <c r="X125" s="3">
        <f t="shared" si="83"/>
        <v>5.9</v>
      </c>
      <c r="Y125" s="3">
        <f t="shared" si="83"/>
        <v>6.4</v>
      </c>
      <c r="Z125" s="3">
        <f t="shared" si="83"/>
        <v>6.6</v>
      </c>
      <c r="AA125" s="3">
        <f t="shared" si="83"/>
        <v>6.3</v>
      </c>
      <c r="AB125" s="3">
        <f t="shared" si="83"/>
        <v>6.6</v>
      </c>
      <c r="AC125" s="3">
        <f t="shared" si="83"/>
        <v>6.9</v>
      </c>
      <c r="AD125" s="3">
        <f t="shared" ref="AD125" si="84">+AD123+AD124</f>
        <v>6.8000000000000007</v>
      </c>
      <c r="AE125" s="3">
        <f t="shared" ref="AE125" si="85">+AE123+AE124</f>
        <v>5.9</v>
      </c>
      <c r="AF125" s="3">
        <f t="shared" ref="AF125" si="86">+AF123+AF124</f>
        <v>5.5</v>
      </c>
      <c r="AG125" s="3">
        <f t="shared" ref="AG125" si="87">+AG123+AG124</f>
        <v>5.2</v>
      </c>
      <c r="AH125" s="3">
        <f t="shared" ref="AH125" si="88">+AH123+AH124</f>
        <v>5.0999999999999996</v>
      </c>
      <c r="AI125" s="3">
        <f t="shared" ref="AI125" si="89">+AI123+AI124</f>
        <v>5.3</v>
      </c>
      <c r="AJ125" s="3">
        <f t="shared" ref="AJ125" si="90">+AJ123+AJ124</f>
        <v>5.6</v>
      </c>
      <c r="AK125" s="3">
        <f t="shared" ref="AK125" si="91">+AK123+AK124</f>
        <v>5.7</v>
      </c>
      <c r="AL125" s="3">
        <f t="shared" ref="AL125" si="92">+AL123+AL124</f>
        <v>6.3</v>
      </c>
      <c r="AM125" s="3">
        <f t="shared" ref="AM125" si="93">+AM123+AM124</f>
        <v>7.3000000000000007</v>
      </c>
      <c r="AN125" s="10">
        <v>7.3</v>
      </c>
      <c r="AO125" s="10">
        <v>7.5</v>
      </c>
      <c r="AP125" s="10">
        <v>7.8</v>
      </c>
      <c r="AQ125" s="10">
        <v>8.3000000000000007</v>
      </c>
      <c r="AR125" s="10">
        <v>8.8000000000000007</v>
      </c>
      <c r="AS125" s="10">
        <v>9.1999999999999993</v>
      </c>
      <c r="AT125" s="10">
        <v>8.5</v>
      </c>
      <c r="AU125" s="10">
        <v>9.4</v>
      </c>
      <c r="AV125" s="10">
        <v>9.4</v>
      </c>
      <c r="AW125" s="10">
        <v>9.8000000000000007</v>
      </c>
      <c r="AX125" s="10">
        <v>9.4</v>
      </c>
      <c r="AY125" s="10">
        <v>9.3000000000000007</v>
      </c>
      <c r="AZ125" s="10">
        <v>8.9</v>
      </c>
      <c r="BA125" s="10">
        <v>7.5</v>
      </c>
      <c r="BB125" s="10">
        <v>7.5</v>
      </c>
    </row>
    <row r="127" spans="1:54" x14ac:dyDescent="0.25">
      <c r="B127" t="s">
        <v>2</v>
      </c>
      <c r="C127">
        <v>2</v>
      </c>
      <c r="D127">
        <v>2</v>
      </c>
      <c r="E127">
        <v>2</v>
      </c>
      <c r="F127">
        <v>2</v>
      </c>
      <c r="G127">
        <v>2</v>
      </c>
      <c r="H127">
        <v>2</v>
      </c>
      <c r="I127">
        <v>2</v>
      </c>
      <c r="J127">
        <v>2</v>
      </c>
      <c r="K127">
        <v>2</v>
      </c>
      <c r="L127">
        <v>2</v>
      </c>
      <c r="M127">
        <v>2</v>
      </c>
      <c r="N127">
        <v>2</v>
      </c>
      <c r="O127">
        <v>2</v>
      </c>
      <c r="P127">
        <v>2</v>
      </c>
      <c r="Q127">
        <v>2</v>
      </c>
      <c r="R127">
        <v>2</v>
      </c>
      <c r="S127">
        <v>2</v>
      </c>
      <c r="T127">
        <v>2</v>
      </c>
      <c r="U127">
        <v>2</v>
      </c>
      <c r="W127">
        <v>2</v>
      </c>
      <c r="X127">
        <v>2</v>
      </c>
      <c r="Y127">
        <v>2</v>
      </c>
      <c r="Z127">
        <v>2</v>
      </c>
      <c r="AA127">
        <v>2</v>
      </c>
      <c r="AB127">
        <v>2</v>
      </c>
      <c r="AC127">
        <v>2</v>
      </c>
      <c r="AD127">
        <v>2</v>
      </c>
      <c r="AE127">
        <v>2</v>
      </c>
      <c r="AF127">
        <v>2</v>
      </c>
      <c r="AG127">
        <v>2</v>
      </c>
      <c r="AH127">
        <v>2</v>
      </c>
      <c r="AI127">
        <v>2</v>
      </c>
      <c r="AJ127">
        <v>2</v>
      </c>
      <c r="AK127">
        <v>2</v>
      </c>
      <c r="AL127">
        <v>2</v>
      </c>
      <c r="AM127">
        <v>2</v>
      </c>
      <c r="AN127" s="10">
        <v>2</v>
      </c>
      <c r="AO127" s="10">
        <v>2</v>
      </c>
      <c r="AP127" s="10">
        <v>2</v>
      </c>
      <c r="AQ127" s="10">
        <v>2</v>
      </c>
      <c r="AR127" s="10">
        <v>2</v>
      </c>
      <c r="AS127" s="10">
        <v>2</v>
      </c>
      <c r="AT127" s="10">
        <v>2</v>
      </c>
      <c r="AU127" s="10">
        <v>2</v>
      </c>
      <c r="AV127" s="10">
        <v>2</v>
      </c>
      <c r="AW127" s="10">
        <v>2</v>
      </c>
      <c r="AX127" s="10">
        <v>2</v>
      </c>
      <c r="AY127" s="10">
        <v>2</v>
      </c>
      <c r="AZ127" s="10">
        <v>2</v>
      </c>
      <c r="BA127" s="12">
        <v>2.75</v>
      </c>
      <c r="BB127" s="10">
        <v>2.75</v>
      </c>
    </row>
    <row r="128" spans="1:54" x14ac:dyDescent="0.25">
      <c r="C128">
        <f>+C125*C127</f>
        <v>9.8000000000000007</v>
      </c>
      <c r="D128">
        <f t="shared" ref="D128:AE128" si="94">+D125*D127</f>
        <v>9.1999999999999993</v>
      </c>
      <c r="E128">
        <f t="shared" si="94"/>
        <v>8.1999999999999993</v>
      </c>
      <c r="F128">
        <f t="shared" si="94"/>
        <v>7.6</v>
      </c>
      <c r="G128">
        <f t="shared" si="94"/>
        <v>5.6</v>
      </c>
      <c r="H128">
        <f t="shared" si="94"/>
        <v>6.1999999999999993</v>
      </c>
      <c r="I128">
        <f t="shared" si="94"/>
        <v>6.4</v>
      </c>
      <c r="J128">
        <f t="shared" si="94"/>
        <v>5.6</v>
      </c>
      <c r="K128">
        <f t="shared" si="94"/>
        <v>4.5999999999999996</v>
      </c>
      <c r="L128">
        <f t="shared" si="94"/>
        <v>4.4000000000000004</v>
      </c>
      <c r="M128">
        <f t="shared" si="94"/>
        <v>4.5999999999999996</v>
      </c>
      <c r="N128">
        <f t="shared" si="94"/>
        <v>4.8</v>
      </c>
      <c r="O128">
        <f t="shared" si="94"/>
        <v>4.8</v>
      </c>
      <c r="P128">
        <f t="shared" si="94"/>
        <v>4.8</v>
      </c>
      <c r="Q128">
        <f t="shared" si="94"/>
        <v>5.4</v>
      </c>
      <c r="R128">
        <f t="shared" si="94"/>
        <v>8.1999999999999993</v>
      </c>
      <c r="S128">
        <f t="shared" si="94"/>
        <v>8.8000000000000007</v>
      </c>
      <c r="T128">
        <f t="shared" si="94"/>
        <v>10</v>
      </c>
      <c r="U128">
        <f t="shared" si="94"/>
        <v>10.6</v>
      </c>
      <c r="V128">
        <f t="shared" si="94"/>
        <v>0</v>
      </c>
      <c r="W128">
        <f t="shared" si="94"/>
        <v>11.8</v>
      </c>
      <c r="X128">
        <f t="shared" si="94"/>
        <v>11.8</v>
      </c>
      <c r="Y128">
        <f t="shared" si="94"/>
        <v>12.8</v>
      </c>
      <c r="Z128">
        <f t="shared" si="94"/>
        <v>13.2</v>
      </c>
      <c r="AA128">
        <f t="shared" si="94"/>
        <v>12.6</v>
      </c>
      <c r="AB128">
        <f t="shared" si="94"/>
        <v>13.2</v>
      </c>
      <c r="AC128">
        <f t="shared" si="94"/>
        <v>13.8</v>
      </c>
      <c r="AD128">
        <f t="shared" si="94"/>
        <v>13.600000000000001</v>
      </c>
      <c r="AE128">
        <f t="shared" si="94"/>
        <v>11.8</v>
      </c>
      <c r="AF128">
        <f t="shared" ref="AF128:AJ128" si="95">+AF125*AF127</f>
        <v>11</v>
      </c>
      <c r="AG128">
        <f t="shared" si="95"/>
        <v>10.4</v>
      </c>
      <c r="AH128">
        <f t="shared" si="95"/>
        <v>10.199999999999999</v>
      </c>
      <c r="AI128">
        <f t="shared" si="95"/>
        <v>10.6</v>
      </c>
      <c r="AJ128">
        <f t="shared" si="95"/>
        <v>11.2</v>
      </c>
      <c r="AK128">
        <f t="shared" ref="AK128:AO128" si="96">+AK125*AK127</f>
        <v>11.4</v>
      </c>
      <c r="AL128">
        <f t="shared" si="96"/>
        <v>12.6</v>
      </c>
      <c r="AM128">
        <f t="shared" si="96"/>
        <v>14.600000000000001</v>
      </c>
      <c r="AN128" s="10">
        <f t="shared" si="96"/>
        <v>14.6</v>
      </c>
      <c r="AO128" s="10">
        <f t="shared" si="96"/>
        <v>15</v>
      </c>
      <c r="AP128" s="10">
        <f t="shared" ref="AP128:AT128" si="97">+AP125*AP127</f>
        <v>15.6</v>
      </c>
      <c r="AQ128" s="10">
        <f t="shared" si="97"/>
        <v>16.600000000000001</v>
      </c>
      <c r="AR128" s="10">
        <f t="shared" si="97"/>
        <v>17.600000000000001</v>
      </c>
      <c r="AS128" s="10">
        <f t="shared" si="97"/>
        <v>18.399999999999999</v>
      </c>
      <c r="AT128" s="10">
        <f t="shared" si="97"/>
        <v>17</v>
      </c>
      <c r="AU128" s="10">
        <f t="shared" ref="AU128:AY128" si="98">+AU125*AU127</f>
        <v>18.8</v>
      </c>
      <c r="AV128" s="10">
        <f t="shared" si="98"/>
        <v>18.8</v>
      </c>
      <c r="AW128" s="10">
        <f t="shared" si="98"/>
        <v>19.600000000000001</v>
      </c>
      <c r="AX128" s="10">
        <f t="shared" si="98"/>
        <v>18.8</v>
      </c>
      <c r="AY128" s="10">
        <f t="shared" si="98"/>
        <v>18.600000000000001</v>
      </c>
      <c r="AZ128" s="10">
        <f>+AZ125*AZ127</f>
        <v>17.8</v>
      </c>
      <c r="BA128" s="10">
        <f>+BA125*BA127</f>
        <v>20.625</v>
      </c>
      <c r="BB128" s="10">
        <f>+BB125*BB127</f>
        <v>20.625</v>
      </c>
    </row>
    <row r="130" spans="1:54" x14ac:dyDescent="0.25">
      <c r="A130" t="s">
        <v>1</v>
      </c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</row>
    <row r="131" spans="1:54" x14ac:dyDescent="0.25">
      <c r="B131" t="s">
        <v>3</v>
      </c>
      <c r="C131" s="3">
        <v>1.6</v>
      </c>
      <c r="D131" s="3">
        <v>1.4</v>
      </c>
      <c r="E131" s="3">
        <v>1.9</v>
      </c>
      <c r="F131" s="3">
        <v>2.1</v>
      </c>
      <c r="G131" s="3">
        <v>1.3</v>
      </c>
      <c r="H131" s="3">
        <v>1.5</v>
      </c>
      <c r="I131" s="3">
        <v>1.6</v>
      </c>
      <c r="J131" s="3">
        <v>1.4</v>
      </c>
      <c r="K131" s="3">
        <v>2</v>
      </c>
      <c r="L131" s="3">
        <v>1.5</v>
      </c>
      <c r="M131" s="3">
        <v>1.9</v>
      </c>
      <c r="N131" s="3">
        <v>0.5</v>
      </c>
      <c r="O131" s="3">
        <v>0.8</v>
      </c>
      <c r="P131" s="3">
        <v>1.4</v>
      </c>
      <c r="Q131" s="3">
        <v>1.2</v>
      </c>
      <c r="R131" s="3">
        <v>1.4</v>
      </c>
      <c r="S131" s="3">
        <v>1.3</v>
      </c>
      <c r="T131" s="3">
        <v>2.9</v>
      </c>
      <c r="U131" s="3">
        <v>3.1</v>
      </c>
      <c r="V131" s="3"/>
      <c r="W131" s="3">
        <v>2.8</v>
      </c>
      <c r="X131" s="3">
        <v>3</v>
      </c>
      <c r="Y131" s="3">
        <v>3.7</v>
      </c>
      <c r="Z131" s="3">
        <v>3.6</v>
      </c>
      <c r="AA131" s="3">
        <v>3.4</v>
      </c>
      <c r="AB131" s="3">
        <v>4.7</v>
      </c>
      <c r="AC131" s="3">
        <v>5.0999999999999996</v>
      </c>
      <c r="AD131" s="3">
        <v>5</v>
      </c>
      <c r="AE131" s="3">
        <v>4.8</v>
      </c>
      <c r="AF131" s="3">
        <v>3.4</v>
      </c>
      <c r="AG131" s="3">
        <v>5.4</v>
      </c>
      <c r="AH131" s="3">
        <v>5.8</v>
      </c>
      <c r="AI131" s="3">
        <v>6</v>
      </c>
      <c r="AJ131" s="3">
        <v>5.5</v>
      </c>
      <c r="AK131" s="3">
        <v>5.2</v>
      </c>
      <c r="AL131" s="3">
        <v>5.6</v>
      </c>
      <c r="AM131" s="3">
        <v>5.7</v>
      </c>
      <c r="AN131" s="10">
        <v>6</v>
      </c>
      <c r="AO131" s="10">
        <v>6.3</v>
      </c>
      <c r="AP131" s="10">
        <v>6.6</v>
      </c>
      <c r="AQ131" s="10">
        <v>6.3</v>
      </c>
      <c r="AR131" s="10">
        <v>5.6</v>
      </c>
      <c r="AS131" s="10">
        <v>5.5</v>
      </c>
      <c r="AT131" s="10">
        <v>5.4</v>
      </c>
      <c r="AU131" s="10">
        <v>5.9</v>
      </c>
      <c r="AV131" s="10">
        <v>6</v>
      </c>
      <c r="AW131" s="10">
        <v>5.6</v>
      </c>
      <c r="AX131" s="10">
        <v>5.9</v>
      </c>
      <c r="AY131" s="10">
        <v>5.9</v>
      </c>
      <c r="AZ131" s="10">
        <v>5.6</v>
      </c>
      <c r="BA131" s="10">
        <v>5.7</v>
      </c>
      <c r="BB131" s="10">
        <v>5.4</v>
      </c>
    </row>
    <row r="132" spans="1:54" x14ac:dyDescent="0.25">
      <c r="B132" t="s">
        <v>4</v>
      </c>
      <c r="C132" s="3">
        <v>3.1</v>
      </c>
      <c r="D132" s="3">
        <v>3</v>
      </c>
      <c r="E132" s="3">
        <v>3.4</v>
      </c>
      <c r="F132" s="3">
        <v>3.1</v>
      </c>
      <c r="G132" s="3">
        <v>2.8</v>
      </c>
      <c r="H132" s="3">
        <v>2.7</v>
      </c>
      <c r="I132" s="3">
        <v>2.7</v>
      </c>
      <c r="J132" s="3">
        <v>2.7</v>
      </c>
      <c r="K132" s="3">
        <v>2</v>
      </c>
      <c r="L132" s="3">
        <v>1.6</v>
      </c>
      <c r="M132" s="3">
        <v>1.1000000000000001</v>
      </c>
      <c r="N132" s="3">
        <v>2.6</v>
      </c>
      <c r="O132" s="3">
        <v>2.2999999999999998</v>
      </c>
      <c r="P132" s="3">
        <v>1.8</v>
      </c>
      <c r="Q132" s="3">
        <v>2</v>
      </c>
      <c r="R132" s="3">
        <v>2.6</v>
      </c>
      <c r="S132" s="3">
        <v>2.8</v>
      </c>
      <c r="T132" s="3">
        <v>2.2999999999999998</v>
      </c>
      <c r="U132" s="3">
        <v>2.2000000000000002</v>
      </c>
      <c r="V132" s="3"/>
      <c r="W132" s="3">
        <v>2.8</v>
      </c>
      <c r="X132" s="3">
        <v>2.7</v>
      </c>
      <c r="Y132" s="3">
        <v>2.7</v>
      </c>
      <c r="Z132" s="3">
        <v>3.7</v>
      </c>
      <c r="AA132" s="3">
        <v>4.2</v>
      </c>
      <c r="AB132" s="3">
        <v>2.9</v>
      </c>
      <c r="AC132" s="3">
        <v>2.6</v>
      </c>
      <c r="AD132" s="3">
        <v>3.2</v>
      </c>
      <c r="AE132" s="3">
        <v>3.4</v>
      </c>
      <c r="AF132" s="3">
        <v>5.2</v>
      </c>
      <c r="AG132" s="3">
        <v>2.7</v>
      </c>
      <c r="AH132" s="3">
        <v>2.4</v>
      </c>
      <c r="AI132" s="3">
        <v>2.6</v>
      </c>
      <c r="AJ132" s="3">
        <v>3.5</v>
      </c>
      <c r="AK132" s="3">
        <v>3.7</v>
      </c>
      <c r="AL132" s="3">
        <v>3.4</v>
      </c>
      <c r="AM132" s="3">
        <v>3.2</v>
      </c>
      <c r="AN132" s="10">
        <v>3.3</v>
      </c>
      <c r="AO132" s="10">
        <v>4.0999999999999996</v>
      </c>
      <c r="AP132" s="10">
        <v>3.3</v>
      </c>
      <c r="AQ132" s="10">
        <v>3.9</v>
      </c>
      <c r="AR132" s="10">
        <v>3.8</v>
      </c>
      <c r="AS132" s="10">
        <v>4.0999999999999996</v>
      </c>
      <c r="AT132" s="10">
        <v>3.5</v>
      </c>
      <c r="AU132" s="10">
        <v>2.8</v>
      </c>
      <c r="AV132" s="10">
        <v>2.5</v>
      </c>
      <c r="AW132" s="10">
        <v>2.7</v>
      </c>
      <c r="AX132" s="10">
        <v>2.1</v>
      </c>
      <c r="AY132" s="10">
        <v>1.8</v>
      </c>
      <c r="AZ132" s="10">
        <v>1.6</v>
      </c>
      <c r="BA132" s="10">
        <v>5.6</v>
      </c>
      <c r="BB132" s="10">
        <v>5.5</v>
      </c>
    </row>
    <row r="133" spans="1:54" x14ac:dyDescent="0.25">
      <c r="B133" t="s">
        <v>5</v>
      </c>
      <c r="C133" s="3">
        <f>+C131+C132</f>
        <v>4.7</v>
      </c>
      <c r="D133" s="3">
        <f t="shared" ref="D133:AC133" si="99">+D131+D132</f>
        <v>4.4000000000000004</v>
      </c>
      <c r="E133" s="3">
        <f t="shared" si="99"/>
        <v>5.3</v>
      </c>
      <c r="F133" s="3">
        <f t="shared" si="99"/>
        <v>5.2</v>
      </c>
      <c r="G133" s="3">
        <f t="shared" si="99"/>
        <v>4.0999999999999996</v>
      </c>
      <c r="H133" s="3">
        <f t="shared" si="99"/>
        <v>4.2</v>
      </c>
      <c r="I133" s="3">
        <f t="shared" si="99"/>
        <v>4.3000000000000007</v>
      </c>
      <c r="J133" s="3">
        <f t="shared" si="99"/>
        <v>4.0999999999999996</v>
      </c>
      <c r="K133" s="3">
        <f t="shared" si="99"/>
        <v>4</v>
      </c>
      <c r="L133" s="3">
        <f t="shared" si="99"/>
        <v>3.1</v>
      </c>
      <c r="M133" s="3">
        <f t="shared" si="99"/>
        <v>3</v>
      </c>
      <c r="N133" s="3">
        <f t="shared" si="99"/>
        <v>3.1</v>
      </c>
      <c r="O133" s="3">
        <f t="shared" si="99"/>
        <v>3.0999999999999996</v>
      </c>
      <c r="P133" s="3">
        <f t="shared" si="99"/>
        <v>3.2</v>
      </c>
      <c r="Q133" s="3">
        <f t="shared" si="99"/>
        <v>3.2</v>
      </c>
      <c r="R133" s="3">
        <f t="shared" si="99"/>
        <v>4</v>
      </c>
      <c r="S133" s="3">
        <f t="shared" si="99"/>
        <v>4.0999999999999996</v>
      </c>
      <c r="T133" s="3">
        <f t="shared" si="99"/>
        <v>5.1999999999999993</v>
      </c>
      <c r="U133" s="3">
        <f t="shared" si="99"/>
        <v>5.3000000000000007</v>
      </c>
      <c r="V133" s="3">
        <f t="shared" si="99"/>
        <v>0</v>
      </c>
      <c r="W133" s="3">
        <f t="shared" si="99"/>
        <v>5.6</v>
      </c>
      <c r="X133" s="3">
        <f t="shared" si="99"/>
        <v>5.7</v>
      </c>
      <c r="Y133" s="3">
        <f t="shared" si="99"/>
        <v>6.4</v>
      </c>
      <c r="Z133" s="3">
        <f t="shared" si="99"/>
        <v>7.3000000000000007</v>
      </c>
      <c r="AA133" s="3">
        <f t="shared" si="99"/>
        <v>7.6</v>
      </c>
      <c r="AB133" s="3">
        <f t="shared" si="99"/>
        <v>7.6</v>
      </c>
      <c r="AC133" s="3">
        <f t="shared" si="99"/>
        <v>7.6999999999999993</v>
      </c>
      <c r="AD133" s="3">
        <f t="shared" ref="AD133" si="100">+AD131+AD132</f>
        <v>8.1999999999999993</v>
      </c>
      <c r="AE133" s="3">
        <f t="shared" ref="AE133" si="101">+AE131+AE132</f>
        <v>8.1999999999999993</v>
      </c>
      <c r="AF133" s="3">
        <f t="shared" ref="AF133" si="102">+AF131+AF132</f>
        <v>8.6</v>
      </c>
      <c r="AG133" s="3">
        <f t="shared" ref="AG133" si="103">+AG131+AG132</f>
        <v>8.1000000000000014</v>
      </c>
      <c r="AH133" s="3">
        <f t="shared" ref="AH133" si="104">+AH131+AH132</f>
        <v>8.1999999999999993</v>
      </c>
      <c r="AI133" s="3">
        <f t="shared" ref="AI133" si="105">+AI131+AI132</f>
        <v>8.6</v>
      </c>
      <c r="AJ133" s="3">
        <f t="shared" ref="AJ133" si="106">+AJ131+AJ132</f>
        <v>9</v>
      </c>
      <c r="AK133" s="3">
        <f t="shared" ref="AK133" si="107">+AK131+AK132</f>
        <v>8.9</v>
      </c>
      <c r="AL133" s="3">
        <f t="shared" ref="AL133" si="108">+AL131+AL132</f>
        <v>9</v>
      </c>
      <c r="AM133" s="3">
        <f t="shared" ref="AM133" si="109">+AM131+AM132</f>
        <v>8.9</v>
      </c>
      <c r="AN133" s="10">
        <v>9.3000000000000007</v>
      </c>
      <c r="AO133" s="10">
        <v>10.4</v>
      </c>
      <c r="AP133" s="10">
        <v>9.9</v>
      </c>
      <c r="AQ133" s="10">
        <v>10.199999999999999</v>
      </c>
      <c r="AR133" s="10">
        <v>9.4</v>
      </c>
      <c r="AS133" s="10">
        <v>9.6</v>
      </c>
      <c r="AT133" s="10">
        <v>8.9</v>
      </c>
      <c r="AU133" s="10">
        <v>8.6999999999999993</v>
      </c>
      <c r="AV133" s="10">
        <v>8.5</v>
      </c>
      <c r="AW133" s="10">
        <v>8.3000000000000007</v>
      </c>
      <c r="AX133" s="10">
        <v>8</v>
      </c>
      <c r="AY133" s="10">
        <v>7.7</v>
      </c>
      <c r="AZ133" s="10">
        <v>7.2</v>
      </c>
      <c r="BA133" s="10">
        <v>11.3</v>
      </c>
      <c r="BB133" s="10">
        <v>10.9</v>
      </c>
    </row>
    <row r="135" spans="1:54" x14ac:dyDescent="0.25">
      <c r="B135" t="s">
        <v>2</v>
      </c>
      <c r="C135">
        <v>3</v>
      </c>
      <c r="D135">
        <v>3</v>
      </c>
      <c r="E135">
        <v>3</v>
      </c>
      <c r="F135">
        <v>3</v>
      </c>
      <c r="G135">
        <v>3</v>
      </c>
      <c r="H135">
        <v>3</v>
      </c>
      <c r="I135">
        <v>3</v>
      </c>
      <c r="J135">
        <v>3</v>
      </c>
      <c r="K135">
        <v>3</v>
      </c>
      <c r="L135">
        <v>3</v>
      </c>
      <c r="M135">
        <v>3</v>
      </c>
      <c r="N135">
        <v>3</v>
      </c>
      <c r="O135">
        <v>3</v>
      </c>
      <c r="P135">
        <v>3</v>
      </c>
      <c r="Q135">
        <v>3</v>
      </c>
      <c r="R135">
        <v>3</v>
      </c>
      <c r="S135">
        <v>3</v>
      </c>
      <c r="T135">
        <v>3</v>
      </c>
      <c r="U135">
        <v>3</v>
      </c>
      <c r="W135">
        <v>3</v>
      </c>
      <c r="X135">
        <v>3</v>
      </c>
      <c r="Y135">
        <v>3</v>
      </c>
      <c r="Z135">
        <v>3</v>
      </c>
      <c r="AA135">
        <v>3</v>
      </c>
      <c r="AB135">
        <v>3</v>
      </c>
      <c r="AC135">
        <v>3</v>
      </c>
      <c r="AD135">
        <v>3</v>
      </c>
      <c r="AE135">
        <v>3</v>
      </c>
      <c r="AF135">
        <v>3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 s="10">
        <v>3</v>
      </c>
      <c r="AO135" s="10">
        <v>3</v>
      </c>
      <c r="AP135" s="10">
        <v>3</v>
      </c>
      <c r="AQ135" s="10">
        <v>3</v>
      </c>
      <c r="AR135" s="10">
        <v>3.5</v>
      </c>
      <c r="AS135" s="10">
        <v>3.5</v>
      </c>
      <c r="AT135" s="10">
        <v>3.5</v>
      </c>
      <c r="AU135" s="10">
        <v>3.5</v>
      </c>
      <c r="AV135" s="10">
        <v>3.5</v>
      </c>
      <c r="AW135" s="10">
        <v>3.5</v>
      </c>
      <c r="AX135" s="10">
        <v>3.5</v>
      </c>
      <c r="AY135" s="10">
        <v>3.5</v>
      </c>
      <c r="AZ135" s="10">
        <v>3.5</v>
      </c>
      <c r="BA135" s="10">
        <v>3.25</v>
      </c>
      <c r="BB135" s="10">
        <v>3.25</v>
      </c>
    </row>
    <row r="136" spans="1:54" x14ac:dyDescent="0.25">
      <c r="C136">
        <f>+C133*C135</f>
        <v>14.100000000000001</v>
      </c>
      <c r="D136">
        <f t="shared" ref="D136:AE136" si="110">+D133*D135</f>
        <v>13.200000000000001</v>
      </c>
      <c r="E136">
        <f t="shared" si="110"/>
        <v>15.899999999999999</v>
      </c>
      <c r="F136">
        <f t="shared" si="110"/>
        <v>15.600000000000001</v>
      </c>
      <c r="G136">
        <f t="shared" si="110"/>
        <v>12.299999999999999</v>
      </c>
      <c r="H136">
        <f t="shared" si="110"/>
        <v>12.600000000000001</v>
      </c>
      <c r="I136">
        <f t="shared" si="110"/>
        <v>12.900000000000002</v>
      </c>
      <c r="J136">
        <f t="shared" si="110"/>
        <v>12.299999999999999</v>
      </c>
      <c r="K136">
        <f t="shared" si="110"/>
        <v>12</v>
      </c>
      <c r="L136">
        <f t="shared" si="110"/>
        <v>9.3000000000000007</v>
      </c>
      <c r="M136">
        <f t="shared" si="110"/>
        <v>9</v>
      </c>
      <c r="N136">
        <f t="shared" si="110"/>
        <v>9.3000000000000007</v>
      </c>
      <c r="O136">
        <f t="shared" si="110"/>
        <v>9.2999999999999989</v>
      </c>
      <c r="P136">
        <f t="shared" si="110"/>
        <v>9.6000000000000014</v>
      </c>
      <c r="Q136">
        <f t="shared" si="110"/>
        <v>9.6000000000000014</v>
      </c>
      <c r="R136">
        <f t="shared" si="110"/>
        <v>12</v>
      </c>
      <c r="S136">
        <f t="shared" si="110"/>
        <v>12.299999999999999</v>
      </c>
      <c r="T136">
        <f t="shared" si="110"/>
        <v>15.599999999999998</v>
      </c>
      <c r="U136">
        <f t="shared" si="110"/>
        <v>15.900000000000002</v>
      </c>
      <c r="V136">
        <f t="shared" si="110"/>
        <v>0</v>
      </c>
      <c r="W136">
        <f t="shared" si="110"/>
        <v>16.799999999999997</v>
      </c>
      <c r="X136">
        <f t="shared" si="110"/>
        <v>17.100000000000001</v>
      </c>
      <c r="Y136">
        <f t="shared" si="110"/>
        <v>19.200000000000003</v>
      </c>
      <c r="Z136">
        <f t="shared" si="110"/>
        <v>21.900000000000002</v>
      </c>
      <c r="AA136">
        <f t="shared" si="110"/>
        <v>22.799999999999997</v>
      </c>
      <c r="AB136">
        <f t="shared" si="110"/>
        <v>22.799999999999997</v>
      </c>
      <c r="AC136">
        <f t="shared" si="110"/>
        <v>23.099999999999998</v>
      </c>
      <c r="AD136">
        <f t="shared" si="110"/>
        <v>24.599999999999998</v>
      </c>
      <c r="AE136">
        <f t="shared" si="110"/>
        <v>24.599999999999998</v>
      </c>
      <c r="AF136">
        <f t="shared" ref="AF136:AJ136" si="111">+AF133*AF135</f>
        <v>25.799999999999997</v>
      </c>
      <c r="AG136">
        <f t="shared" si="111"/>
        <v>24.300000000000004</v>
      </c>
      <c r="AH136">
        <f t="shared" si="111"/>
        <v>24.599999999999998</v>
      </c>
      <c r="AI136">
        <f t="shared" si="111"/>
        <v>25.799999999999997</v>
      </c>
      <c r="AJ136">
        <f t="shared" si="111"/>
        <v>27</v>
      </c>
      <c r="AK136">
        <f t="shared" ref="AK136:AO136" si="112">+AK133*AK135</f>
        <v>26.700000000000003</v>
      </c>
      <c r="AL136">
        <f t="shared" si="112"/>
        <v>27</v>
      </c>
      <c r="AM136">
        <f t="shared" si="112"/>
        <v>26.700000000000003</v>
      </c>
      <c r="AN136" s="10">
        <f t="shared" si="112"/>
        <v>27.900000000000002</v>
      </c>
      <c r="AO136" s="10">
        <f t="shared" si="112"/>
        <v>31.200000000000003</v>
      </c>
      <c r="AP136" s="10">
        <f t="shared" ref="AP136:AT136" si="113">+AP133*AP135</f>
        <v>29.700000000000003</v>
      </c>
      <c r="AQ136" s="10">
        <f t="shared" si="113"/>
        <v>30.599999999999998</v>
      </c>
      <c r="AR136" s="10">
        <f t="shared" si="113"/>
        <v>32.9</v>
      </c>
      <c r="AS136" s="10">
        <f t="shared" si="113"/>
        <v>33.6</v>
      </c>
      <c r="AT136" s="10">
        <f t="shared" si="113"/>
        <v>31.150000000000002</v>
      </c>
      <c r="AU136" s="10">
        <f t="shared" ref="AU136:AY136" si="114">+AU133*AU135</f>
        <v>30.449999999999996</v>
      </c>
      <c r="AV136" s="10">
        <f t="shared" si="114"/>
        <v>29.75</v>
      </c>
      <c r="AW136" s="10">
        <f t="shared" si="114"/>
        <v>29.050000000000004</v>
      </c>
      <c r="AX136" s="10">
        <f t="shared" si="114"/>
        <v>28</v>
      </c>
      <c r="AY136" s="10">
        <f t="shared" si="114"/>
        <v>26.95</v>
      </c>
      <c r="AZ136" s="10">
        <f>+AZ133*AZ135</f>
        <v>25.2</v>
      </c>
      <c r="BA136" s="10">
        <f>+BA133*BA135</f>
        <v>36.725000000000001</v>
      </c>
      <c r="BB136" s="10">
        <f>+BB133*BB135</f>
        <v>35.425000000000004</v>
      </c>
    </row>
    <row r="140" spans="1:54" x14ac:dyDescent="0.25">
      <c r="B140" s="2">
        <v>2019</v>
      </c>
      <c r="C140" s="1">
        <v>43470</v>
      </c>
      <c r="D140" s="1">
        <f>+C140+7</f>
        <v>43477</v>
      </c>
      <c r="E140" s="1">
        <f t="shared" ref="E140:AC140" si="115">+D140+7</f>
        <v>43484</v>
      </c>
      <c r="F140" s="1">
        <f t="shared" si="115"/>
        <v>43491</v>
      </c>
      <c r="G140" s="1">
        <f t="shared" si="115"/>
        <v>43498</v>
      </c>
      <c r="H140" s="1">
        <f t="shared" si="115"/>
        <v>43505</v>
      </c>
      <c r="I140" s="1">
        <f t="shared" si="115"/>
        <v>43512</v>
      </c>
      <c r="J140" s="1">
        <f t="shared" si="115"/>
        <v>43519</v>
      </c>
      <c r="K140" s="1">
        <f t="shared" si="115"/>
        <v>43526</v>
      </c>
      <c r="L140" s="1">
        <f t="shared" si="115"/>
        <v>43533</v>
      </c>
      <c r="M140" s="1">
        <f t="shared" si="115"/>
        <v>43540</v>
      </c>
      <c r="N140" s="1">
        <f t="shared" si="115"/>
        <v>43547</v>
      </c>
      <c r="O140" s="1">
        <f t="shared" si="115"/>
        <v>43554</v>
      </c>
      <c r="P140" s="1">
        <f t="shared" si="115"/>
        <v>43561</v>
      </c>
      <c r="Q140" s="1">
        <f t="shared" si="115"/>
        <v>43568</v>
      </c>
      <c r="R140" s="1">
        <f t="shared" si="115"/>
        <v>43575</v>
      </c>
      <c r="S140" s="1">
        <f t="shared" si="115"/>
        <v>43582</v>
      </c>
      <c r="T140" s="1">
        <f t="shared" si="115"/>
        <v>43589</v>
      </c>
      <c r="U140" s="1">
        <f t="shared" si="115"/>
        <v>43596</v>
      </c>
      <c r="V140" s="1">
        <f t="shared" si="115"/>
        <v>43603</v>
      </c>
      <c r="W140" s="1">
        <f t="shared" si="115"/>
        <v>43610</v>
      </c>
      <c r="X140" s="1">
        <f t="shared" si="115"/>
        <v>43617</v>
      </c>
      <c r="Y140" s="1">
        <f t="shared" si="115"/>
        <v>43624</v>
      </c>
      <c r="Z140" s="1">
        <f t="shared" si="115"/>
        <v>43631</v>
      </c>
      <c r="AA140" s="1">
        <f t="shared" si="115"/>
        <v>43638</v>
      </c>
      <c r="AB140" s="1">
        <f t="shared" si="115"/>
        <v>43645</v>
      </c>
      <c r="AC140" s="1">
        <f t="shared" si="115"/>
        <v>43652</v>
      </c>
      <c r="AD140" s="1">
        <f t="shared" ref="AD140:AL140" si="116">+AC140+7</f>
        <v>43659</v>
      </c>
      <c r="AE140" s="1">
        <f t="shared" si="116"/>
        <v>43666</v>
      </c>
      <c r="AF140" s="1">
        <f t="shared" si="116"/>
        <v>43673</v>
      </c>
      <c r="AG140" s="1">
        <f t="shared" si="116"/>
        <v>43680</v>
      </c>
      <c r="AH140" s="1">
        <f t="shared" si="116"/>
        <v>43687</v>
      </c>
      <c r="AI140" s="1">
        <f t="shared" si="116"/>
        <v>43694</v>
      </c>
      <c r="AJ140" s="1">
        <f t="shared" si="116"/>
        <v>43701</v>
      </c>
      <c r="AK140" s="1">
        <f t="shared" si="116"/>
        <v>43708</v>
      </c>
      <c r="AL140" s="1">
        <f t="shared" si="116"/>
        <v>43715</v>
      </c>
      <c r="AM140" s="1">
        <f>+AL140+7</f>
        <v>43722</v>
      </c>
      <c r="AN140" s="11">
        <v>43729</v>
      </c>
      <c r="AO140" s="11">
        <v>43736</v>
      </c>
      <c r="AP140" s="11">
        <v>43743</v>
      </c>
      <c r="AQ140" s="11">
        <v>43750</v>
      </c>
      <c r="AR140" s="11">
        <v>43757</v>
      </c>
      <c r="AS140" s="11">
        <v>43764</v>
      </c>
      <c r="AT140" s="1">
        <v>43771</v>
      </c>
      <c r="AU140" s="1">
        <v>43778</v>
      </c>
      <c r="AV140" s="1">
        <v>43785</v>
      </c>
      <c r="AW140" s="1">
        <v>43792</v>
      </c>
      <c r="AX140" s="1">
        <v>43799</v>
      </c>
      <c r="AY140" s="1">
        <v>43806</v>
      </c>
      <c r="AZ140" s="1">
        <v>43813</v>
      </c>
      <c r="BA140" s="1">
        <v>43820</v>
      </c>
      <c r="BB140" s="1">
        <v>43827</v>
      </c>
    </row>
    <row r="142" spans="1:54" x14ac:dyDescent="0.25">
      <c r="A142" t="s">
        <v>0</v>
      </c>
    </row>
    <row r="143" spans="1:54" x14ac:dyDescent="0.25">
      <c r="B143" t="s">
        <v>3</v>
      </c>
      <c r="C143" s="3">
        <v>2.1</v>
      </c>
      <c r="D143" s="3">
        <v>1.6</v>
      </c>
      <c r="E143" s="3"/>
      <c r="F143" s="3">
        <v>1.9</v>
      </c>
      <c r="G143" s="3">
        <v>1.7</v>
      </c>
      <c r="H143" s="3">
        <v>1</v>
      </c>
      <c r="I143" s="3">
        <v>0.8</v>
      </c>
      <c r="J143" s="3">
        <v>0.6</v>
      </c>
      <c r="K143" s="3">
        <v>1.2</v>
      </c>
      <c r="L143" s="3">
        <v>1.8</v>
      </c>
      <c r="M143" s="3">
        <v>2.2000000000000002</v>
      </c>
      <c r="N143" s="3">
        <v>1.5</v>
      </c>
      <c r="O143" s="3">
        <v>1.5</v>
      </c>
      <c r="P143" s="3">
        <v>1.7</v>
      </c>
      <c r="Q143" s="3">
        <v>1.3</v>
      </c>
      <c r="R143" s="3">
        <v>1.8</v>
      </c>
      <c r="S143" s="3">
        <v>2.6</v>
      </c>
      <c r="T143" s="3">
        <v>2.8</v>
      </c>
      <c r="U143" s="3">
        <v>2.8</v>
      </c>
      <c r="V143" s="3">
        <v>2.2999999999999998</v>
      </c>
      <c r="W143" s="3">
        <v>2.8</v>
      </c>
      <c r="X143" s="3">
        <v>3.6</v>
      </c>
      <c r="Y143" s="3">
        <v>3.2</v>
      </c>
      <c r="Z143" s="3">
        <v>4.2</v>
      </c>
      <c r="AA143" s="3">
        <v>3.9</v>
      </c>
      <c r="AB143" s="3">
        <v>3.9</v>
      </c>
      <c r="AC143" s="3">
        <v>2.2999999999999998</v>
      </c>
      <c r="AD143" s="3">
        <v>2.2999999999999998</v>
      </c>
      <c r="AE143" s="3">
        <v>2.2999999999999998</v>
      </c>
      <c r="AF143" s="3">
        <v>2.1</v>
      </c>
      <c r="AG143" s="3">
        <v>1.9</v>
      </c>
      <c r="AH143" s="3">
        <v>2</v>
      </c>
      <c r="AI143" s="3"/>
      <c r="AJ143" s="3">
        <v>1.8</v>
      </c>
      <c r="AK143" s="3">
        <v>2</v>
      </c>
      <c r="AL143" s="3">
        <v>2.1</v>
      </c>
      <c r="AM143" s="3">
        <v>2.7</v>
      </c>
      <c r="AN143" s="10">
        <v>2.7</v>
      </c>
      <c r="AO143" s="10">
        <v>2.8</v>
      </c>
      <c r="AP143" s="10">
        <v>3.2</v>
      </c>
      <c r="AQ143" s="10">
        <v>3</v>
      </c>
      <c r="AR143" s="10">
        <v>2.8</v>
      </c>
      <c r="AS143" s="10">
        <v>1.6</v>
      </c>
      <c r="AT143" s="10">
        <v>1.6</v>
      </c>
      <c r="AU143" s="10">
        <v>2.4</v>
      </c>
      <c r="AV143" s="10">
        <v>3.4</v>
      </c>
      <c r="AW143" s="10">
        <v>3.8</v>
      </c>
      <c r="AX143" s="10">
        <v>3.8</v>
      </c>
      <c r="AY143" s="10">
        <v>2.5</v>
      </c>
      <c r="AZ143" s="10">
        <v>3.5</v>
      </c>
      <c r="BA143" s="10">
        <v>2.9</v>
      </c>
      <c r="BB143" s="10">
        <v>3.1</v>
      </c>
    </row>
    <row r="144" spans="1:54" x14ac:dyDescent="0.25">
      <c r="B144" t="s">
        <v>4</v>
      </c>
      <c r="C144" s="3">
        <v>1.5</v>
      </c>
      <c r="D144" s="3">
        <v>2</v>
      </c>
      <c r="E144" s="3"/>
      <c r="F144" s="3">
        <v>1.4</v>
      </c>
      <c r="G144" s="3">
        <v>0.6</v>
      </c>
      <c r="H144" s="3">
        <v>0.7</v>
      </c>
      <c r="I144" s="3">
        <v>0.9</v>
      </c>
      <c r="J144" s="3">
        <v>2.2999999999999998</v>
      </c>
      <c r="K144" s="3">
        <v>2.4</v>
      </c>
      <c r="L144" s="3">
        <v>2.9</v>
      </c>
      <c r="M144" s="3">
        <v>2</v>
      </c>
      <c r="N144" s="3">
        <v>2.9</v>
      </c>
      <c r="O144" s="3">
        <v>3.2</v>
      </c>
      <c r="P144" s="3">
        <v>3.7</v>
      </c>
      <c r="Q144" s="3">
        <v>4</v>
      </c>
      <c r="R144" s="3">
        <v>4.7</v>
      </c>
      <c r="S144" s="3">
        <v>4.3</v>
      </c>
      <c r="T144" s="3">
        <v>5</v>
      </c>
      <c r="U144" s="3">
        <v>4.8</v>
      </c>
      <c r="V144" s="3">
        <v>5.5</v>
      </c>
      <c r="W144" s="3">
        <v>5</v>
      </c>
      <c r="X144" s="3">
        <v>4.2</v>
      </c>
      <c r="Y144" s="3">
        <v>5.6</v>
      </c>
      <c r="Z144" s="3">
        <v>5</v>
      </c>
      <c r="AA144" s="3">
        <v>5.4</v>
      </c>
      <c r="AB144" s="3">
        <v>5.4</v>
      </c>
      <c r="AC144" s="3">
        <v>3.1</v>
      </c>
      <c r="AD144" s="3">
        <v>3</v>
      </c>
      <c r="AE144" s="3">
        <v>2.8</v>
      </c>
      <c r="AF144" s="3">
        <v>2.9</v>
      </c>
      <c r="AG144" s="3">
        <v>2.5</v>
      </c>
      <c r="AH144" s="3">
        <v>2.8</v>
      </c>
      <c r="AI144" s="3"/>
      <c r="AJ144" s="3">
        <v>3.3</v>
      </c>
      <c r="AK144" s="3">
        <v>2.6</v>
      </c>
      <c r="AL144" s="3">
        <v>2.9</v>
      </c>
      <c r="AM144" s="3">
        <v>2.6</v>
      </c>
      <c r="AN144" s="10">
        <v>2.6</v>
      </c>
      <c r="AO144" s="10">
        <v>3.6</v>
      </c>
      <c r="AP144" s="10">
        <v>3.3</v>
      </c>
      <c r="AQ144" s="10">
        <v>3.1</v>
      </c>
      <c r="AR144" s="10">
        <v>3</v>
      </c>
      <c r="AS144" s="10">
        <v>4.4000000000000004</v>
      </c>
      <c r="AT144" s="10">
        <v>4.4000000000000004</v>
      </c>
      <c r="AU144" s="10">
        <v>4.5999999999999996</v>
      </c>
      <c r="AV144" s="10">
        <v>4</v>
      </c>
      <c r="AW144" s="10">
        <v>3.5</v>
      </c>
      <c r="AX144" s="10">
        <v>3.5</v>
      </c>
      <c r="AY144" s="10">
        <v>4.8</v>
      </c>
      <c r="AZ144" s="10">
        <v>3.6</v>
      </c>
      <c r="BA144" s="10">
        <v>3.5</v>
      </c>
      <c r="BB144" s="10">
        <v>3.1</v>
      </c>
    </row>
    <row r="145" spans="1:54" x14ac:dyDescent="0.25">
      <c r="B145" t="s">
        <v>5</v>
      </c>
      <c r="C145" s="3">
        <f>+C143+C144</f>
        <v>3.6</v>
      </c>
      <c r="D145" s="3">
        <f t="shared" ref="D145:AC145" si="117">+D143+D144</f>
        <v>3.6</v>
      </c>
      <c r="E145" s="3">
        <f t="shared" si="117"/>
        <v>0</v>
      </c>
      <c r="F145" s="3">
        <f t="shared" si="117"/>
        <v>3.3</v>
      </c>
      <c r="G145" s="3">
        <f t="shared" si="117"/>
        <v>2.2999999999999998</v>
      </c>
      <c r="H145" s="3">
        <f t="shared" si="117"/>
        <v>1.7</v>
      </c>
      <c r="I145" s="3">
        <f t="shared" si="117"/>
        <v>1.7000000000000002</v>
      </c>
      <c r="J145" s="3">
        <f t="shared" si="117"/>
        <v>2.9</v>
      </c>
      <c r="K145" s="3">
        <f t="shared" si="117"/>
        <v>3.5999999999999996</v>
      </c>
      <c r="L145" s="3">
        <f t="shared" si="117"/>
        <v>4.7</v>
      </c>
      <c r="M145" s="3">
        <f t="shared" si="117"/>
        <v>4.2</v>
      </c>
      <c r="N145" s="3">
        <f t="shared" si="117"/>
        <v>4.4000000000000004</v>
      </c>
      <c r="O145" s="3">
        <f t="shared" si="117"/>
        <v>4.7</v>
      </c>
      <c r="P145" s="3">
        <f t="shared" si="117"/>
        <v>5.4</v>
      </c>
      <c r="Q145" s="3">
        <f t="shared" si="117"/>
        <v>5.3</v>
      </c>
      <c r="R145" s="3">
        <f t="shared" si="117"/>
        <v>6.5</v>
      </c>
      <c r="S145" s="3">
        <f t="shared" si="117"/>
        <v>6.9</v>
      </c>
      <c r="T145" s="3">
        <f t="shared" si="117"/>
        <v>7.8</v>
      </c>
      <c r="U145" s="3">
        <f t="shared" si="117"/>
        <v>7.6</v>
      </c>
      <c r="V145" s="3">
        <f t="shared" si="117"/>
        <v>7.8</v>
      </c>
      <c r="W145" s="3">
        <f t="shared" si="117"/>
        <v>7.8</v>
      </c>
      <c r="X145" s="3">
        <f t="shared" si="117"/>
        <v>7.8000000000000007</v>
      </c>
      <c r="Y145" s="3">
        <f t="shared" si="117"/>
        <v>8.8000000000000007</v>
      </c>
      <c r="Z145" s="3">
        <f t="shared" si="117"/>
        <v>9.1999999999999993</v>
      </c>
      <c r="AA145" s="3">
        <f t="shared" si="117"/>
        <v>9.3000000000000007</v>
      </c>
      <c r="AB145" s="3">
        <f t="shared" si="117"/>
        <v>9.3000000000000007</v>
      </c>
      <c r="AC145" s="3">
        <f t="shared" si="117"/>
        <v>5.4</v>
      </c>
      <c r="AD145" s="3">
        <f t="shared" ref="AD145" si="118">+AD143+AD144</f>
        <v>5.3</v>
      </c>
      <c r="AE145" s="3">
        <f t="shared" ref="AE145" si="119">+AE143+AE144</f>
        <v>5.0999999999999996</v>
      </c>
      <c r="AF145" s="3">
        <f t="shared" ref="AF145" si="120">+AF143+AF144</f>
        <v>5</v>
      </c>
      <c r="AG145" s="3">
        <f t="shared" ref="AG145" si="121">+AG143+AG144</f>
        <v>4.4000000000000004</v>
      </c>
      <c r="AH145" s="3">
        <f t="shared" ref="AH145" si="122">+AH143+AH144</f>
        <v>4.8</v>
      </c>
      <c r="AI145" s="3">
        <f t="shared" ref="AI145" si="123">+AI143+AI144</f>
        <v>0</v>
      </c>
      <c r="AJ145" s="3">
        <f t="shared" ref="AJ145" si="124">+AJ143+AJ144</f>
        <v>5.0999999999999996</v>
      </c>
      <c r="AK145" s="3">
        <f t="shared" ref="AK145" si="125">+AK143+AK144</f>
        <v>4.5999999999999996</v>
      </c>
      <c r="AL145" s="3">
        <f t="shared" ref="AL145" si="126">+AL143+AL144</f>
        <v>5</v>
      </c>
      <c r="AM145" s="3">
        <f t="shared" ref="AM145" si="127">+AM143+AM144</f>
        <v>5.3000000000000007</v>
      </c>
      <c r="AN145" s="10">
        <v>5.3</v>
      </c>
      <c r="AO145" s="10">
        <v>6.4</v>
      </c>
      <c r="AP145" s="10">
        <v>6.5</v>
      </c>
      <c r="AQ145" s="10">
        <v>6.1</v>
      </c>
      <c r="AR145" s="10">
        <v>5.8</v>
      </c>
      <c r="AS145" s="10">
        <v>6</v>
      </c>
      <c r="AT145" s="10">
        <v>6</v>
      </c>
      <c r="AU145" s="10">
        <v>7</v>
      </c>
      <c r="AV145" s="10">
        <v>7.4</v>
      </c>
      <c r="AW145" s="10">
        <v>7.3</v>
      </c>
      <c r="AX145" s="10">
        <v>7.3</v>
      </c>
      <c r="AY145" s="10">
        <v>7.3</v>
      </c>
      <c r="AZ145" s="10">
        <v>7.1</v>
      </c>
      <c r="BA145" s="10">
        <v>6.4</v>
      </c>
      <c r="BB145" s="10">
        <v>6.2</v>
      </c>
    </row>
    <row r="147" spans="1:54" x14ac:dyDescent="0.25">
      <c r="B147" t="s">
        <v>2</v>
      </c>
      <c r="C147">
        <v>2</v>
      </c>
      <c r="D147">
        <v>2</v>
      </c>
      <c r="F147">
        <v>2</v>
      </c>
      <c r="G147">
        <v>2</v>
      </c>
      <c r="H147">
        <v>2</v>
      </c>
      <c r="I147">
        <v>2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1.5</v>
      </c>
      <c r="AD147">
        <v>1.5</v>
      </c>
      <c r="AE147">
        <v>1.5</v>
      </c>
      <c r="AF147">
        <v>1.5</v>
      </c>
      <c r="AG147">
        <v>1.5</v>
      </c>
      <c r="AH147">
        <v>1.5</v>
      </c>
      <c r="AJ147">
        <v>1.5</v>
      </c>
      <c r="AK147">
        <v>1.5</v>
      </c>
      <c r="AL147">
        <v>1.5</v>
      </c>
      <c r="AM147">
        <v>1.5</v>
      </c>
      <c r="AN147" s="10">
        <v>1.5</v>
      </c>
      <c r="AO147" s="10">
        <v>1.5</v>
      </c>
      <c r="AP147" s="10">
        <v>1.5</v>
      </c>
      <c r="AQ147" s="10">
        <v>1.5</v>
      </c>
      <c r="AR147" s="10">
        <v>1.5</v>
      </c>
      <c r="AS147" s="10">
        <v>2</v>
      </c>
      <c r="AT147" s="10">
        <v>2</v>
      </c>
      <c r="AU147" s="10">
        <v>2</v>
      </c>
      <c r="AV147" s="10">
        <v>2</v>
      </c>
      <c r="AW147" s="10">
        <v>2</v>
      </c>
      <c r="AX147" s="10">
        <v>2</v>
      </c>
      <c r="AY147" s="10">
        <v>2</v>
      </c>
      <c r="AZ147" s="10">
        <v>2</v>
      </c>
      <c r="BA147" s="10">
        <v>2</v>
      </c>
      <c r="BB147" s="10">
        <v>2</v>
      </c>
    </row>
    <row r="148" spans="1:54" x14ac:dyDescent="0.25">
      <c r="C148">
        <f>+C145*C147</f>
        <v>7.2</v>
      </c>
      <c r="D148">
        <f>+D145*D147</f>
        <v>7.2</v>
      </c>
      <c r="E148">
        <f t="shared" ref="E148:AL148" si="128">+E145*E147</f>
        <v>0</v>
      </c>
      <c r="F148" s="10">
        <f>+F145*F147</f>
        <v>6.6</v>
      </c>
      <c r="G148">
        <f t="shared" si="128"/>
        <v>4.5999999999999996</v>
      </c>
      <c r="H148">
        <f t="shared" si="128"/>
        <v>3.4</v>
      </c>
      <c r="I148">
        <f t="shared" si="128"/>
        <v>3.4000000000000004</v>
      </c>
      <c r="J148">
        <f t="shared" si="128"/>
        <v>2.9</v>
      </c>
      <c r="K148">
        <f t="shared" si="128"/>
        <v>3.5999999999999996</v>
      </c>
      <c r="L148">
        <f t="shared" si="128"/>
        <v>4.7</v>
      </c>
      <c r="M148">
        <f t="shared" si="128"/>
        <v>4.2</v>
      </c>
      <c r="N148">
        <f t="shared" si="128"/>
        <v>4.4000000000000004</v>
      </c>
      <c r="O148">
        <f t="shared" si="128"/>
        <v>4.7</v>
      </c>
      <c r="P148">
        <f t="shared" si="128"/>
        <v>5.4</v>
      </c>
      <c r="Q148">
        <f t="shared" si="128"/>
        <v>5.3</v>
      </c>
      <c r="R148">
        <f t="shared" si="128"/>
        <v>6.5</v>
      </c>
      <c r="S148">
        <f t="shared" si="128"/>
        <v>6.9</v>
      </c>
      <c r="T148">
        <f t="shared" si="128"/>
        <v>7.8</v>
      </c>
      <c r="U148">
        <f t="shared" si="128"/>
        <v>7.6</v>
      </c>
      <c r="V148">
        <f t="shared" si="128"/>
        <v>7.8</v>
      </c>
      <c r="W148">
        <f t="shared" si="128"/>
        <v>7.8</v>
      </c>
      <c r="X148">
        <f t="shared" si="128"/>
        <v>7.8000000000000007</v>
      </c>
      <c r="Y148">
        <f t="shared" si="128"/>
        <v>8.8000000000000007</v>
      </c>
      <c r="Z148">
        <f t="shared" si="128"/>
        <v>9.1999999999999993</v>
      </c>
      <c r="AA148">
        <f t="shared" si="128"/>
        <v>9.3000000000000007</v>
      </c>
      <c r="AB148">
        <f t="shared" si="128"/>
        <v>9.3000000000000007</v>
      </c>
      <c r="AC148">
        <f t="shared" si="128"/>
        <v>8.1000000000000014</v>
      </c>
      <c r="AD148">
        <f t="shared" si="128"/>
        <v>7.9499999999999993</v>
      </c>
      <c r="AE148">
        <f t="shared" si="128"/>
        <v>7.6499999999999995</v>
      </c>
      <c r="AF148">
        <f t="shared" si="128"/>
        <v>7.5</v>
      </c>
      <c r="AG148">
        <f t="shared" si="128"/>
        <v>6.6000000000000005</v>
      </c>
      <c r="AH148">
        <f t="shared" si="128"/>
        <v>7.1999999999999993</v>
      </c>
      <c r="AI148">
        <f t="shared" si="128"/>
        <v>0</v>
      </c>
      <c r="AJ148">
        <f t="shared" si="128"/>
        <v>7.6499999999999995</v>
      </c>
      <c r="AK148">
        <f t="shared" si="128"/>
        <v>6.8999999999999995</v>
      </c>
      <c r="AL148">
        <f t="shared" si="128"/>
        <v>7.5</v>
      </c>
      <c r="AM148">
        <f t="shared" ref="AM148:AR148" si="129">+AM145*AM147</f>
        <v>7.9500000000000011</v>
      </c>
      <c r="AN148" s="10">
        <f t="shared" si="129"/>
        <v>7.9499999999999993</v>
      </c>
      <c r="AO148" s="10">
        <f t="shared" si="129"/>
        <v>9.6000000000000014</v>
      </c>
      <c r="AP148" s="10">
        <f t="shared" si="129"/>
        <v>9.75</v>
      </c>
      <c r="AQ148" s="10">
        <f t="shared" si="129"/>
        <v>9.1499999999999986</v>
      </c>
      <c r="AR148" s="10">
        <f t="shared" si="129"/>
        <v>8.6999999999999993</v>
      </c>
      <c r="AS148" s="10">
        <f t="shared" ref="AS148:BB148" si="130">+AS145*AS147</f>
        <v>12</v>
      </c>
      <c r="AT148" s="10">
        <f t="shared" si="130"/>
        <v>12</v>
      </c>
      <c r="AU148" s="10">
        <f t="shared" si="130"/>
        <v>14</v>
      </c>
      <c r="AV148" s="10">
        <f t="shared" si="130"/>
        <v>14.8</v>
      </c>
      <c r="AW148" s="10">
        <f t="shared" si="130"/>
        <v>14.6</v>
      </c>
      <c r="AX148" s="10">
        <f t="shared" si="130"/>
        <v>14.6</v>
      </c>
      <c r="AY148" s="10">
        <f t="shared" si="130"/>
        <v>14.6</v>
      </c>
      <c r="AZ148" s="10">
        <f t="shared" si="130"/>
        <v>14.2</v>
      </c>
      <c r="BA148" s="10">
        <f t="shared" si="130"/>
        <v>12.8</v>
      </c>
      <c r="BB148" s="10">
        <f t="shared" si="130"/>
        <v>12.4</v>
      </c>
    </row>
    <row r="150" spans="1:54" x14ac:dyDescent="0.25">
      <c r="A150" t="s">
        <v>1</v>
      </c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</row>
    <row r="151" spans="1:54" x14ac:dyDescent="0.25">
      <c r="B151" t="s">
        <v>3</v>
      </c>
      <c r="C151" s="3">
        <v>1.9</v>
      </c>
      <c r="D151" s="3">
        <v>1.7</v>
      </c>
      <c r="E151" s="3"/>
      <c r="F151" s="3">
        <v>1.1000000000000001</v>
      </c>
      <c r="G151" s="3">
        <v>0.9</v>
      </c>
      <c r="H151" s="3">
        <v>0.3</v>
      </c>
      <c r="I151" s="3">
        <v>0.3</v>
      </c>
      <c r="J151" s="3">
        <v>0.2</v>
      </c>
      <c r="K151" s="3">
        <v>0.6</v>
      </c>
      <c r="L151" s="3">
        <v>0.8</v>
      </c>
      <c r="M151" s="3">
        <v>0.3</v>
      </c>
      <c r="N151" s="3">
        <v>0.3</v>
      </c>
      <c r="O151" s="3">
        <v>0.4</v>
      </c>
      <c r="P151" s="3">
        <v>0.6</v>
      </c>
      <c r="Q151" s="3">
        <v>0.9</v>
      </c>
      <c r="R151" s="3">
        <v>0.8</v>
      </c>
      <c r="S151" s="3">
        <v>1.5</v>
      </c>
      <c r="T151" s="3">
        <v>0.9</v>
      </c>
      <c r="U151" s="3">
        <v>1.1000000000000001</v>
      </c>
      <c r="V151" s="3">
        <v>1.1000000000000001</v>
      </c>
      <c r="W151" s="3">
        <v>1.6</v>
      </c>
      <c r="X151" s="3">
        <v>1.2</v>
      </c>
      <c r="Y151" s="3">
        <v>1.3</v>
      </c>
      <c r="Z151" s="3">
        <v>1.7</v>
      </c>
      <c r="AA151" s="3">
        <v>1.4</v>
      </c>
      <c r="AB151" s="3">
        <v>1.4</v>
      </c>
      <c r="AC151" s="3">
        <v>3.1</v>
      </c>
      <c r="AD151" s="3">
        <v>2.4</v>
      </c>
      <c r="AE151" s="3">
        <v>3.3</v>
      </c>
      <c r="AF151" s="3">
        <v>3.1</v>
      </c>
      <c r="AG151" s="3">
        <v>3.7</v>
      </c>
      <c r="AH151" s="3">
        <v>3.9</v>
      </c>
      <c r="AI151" s="3"/>
      <c r="AJ151" s="3">
        <v>4.8</v>
      </c>
      <c r="AK151" s="3">
        <v>4.4000000000000004</v>
      </c>
      <c r="AL151" s="3">
        <v>4.7</v>
      </c>
      <c r="AM151" s="3">
        <v>4.0999999999999996</v>
      </c>
      <c r="AN151" s="10">
        <v>4.0999999999999996</v>
      </c>
      <c r="AO151" s="10">
        <v>3.5</v>
      </c>
      <c r="AP151" s="10">
        <v>3.7</v>
      </c>
      <c r="AQ151" s="10">
        <v>3.7</v>
      </c>
      <c r="AR151" s="10">
        <v>3.3</v>
      </c>
      <c r="AS151" s="10">
        <v>2.4</v>
      </c>
      <c r="AT151" s="10">
        <v>2.4</v>
      </c>
      <c r="AU151" s="10">
        <v>2.2999999999999998</v>
      </c>
      <c r="AV151" s="10">
        <v>2.6</v>
      </c>
      <c r="AW151" s="10">
        <v>3.1</v>
      </c>
      <c r="AX151" s="10">
        <v>3.1</v>
      </c>
      <c r="AY151" s="10">
        <v>2.5</v>
      </c>
      <c r="AZ151" s="10">
        <v>2.5</v>
      </c>
      <c r="BA151" s="10">
        <v>2</v>
      </c>
      <c r="BB151" s="10">
        <v>1.7</v>
      </c>
    </row>
    <row r="152" spans="1:54" x14ac:dyDescent="0.25">
      <c r="B152" t="s">
        <v>4</v>
      </c>
      <c r="C152" s="3">
        <v>0.9</v>
      </c>
      <c r="D152" s="3">
        <v>1.1000000000000001</v>
      </c>
      <c r="E152" s="3"/>
      <c r="F152" s="3">
        <v>1.4</v>
      </c>
      <c r="G152" s="3">
        <v>0.7</v>
      </c>
      <c r="H152" s="3">
        <v>0.8</v>
      </c>
      <c r="I152" s="3">
        <v>0.6</v>
      </c>
      <c r="J152" s="3">
        <v>0.9</v>
      </c>
      <c r="K152" s="3">
        <v>0.7</v>
      </c>
      <c r="L152" s="3">
        <v>0.6</v>
      </c>
      <c r="M152" s="3">
        <v>0.4</v>
      </c>
      <c r="N152" s="3">
        <v>0.9</v>
      </c>
      <c r="O152" s="3">
        <v>1</v>
      </c>
      <c r="P152" s="3">
        <v>1.3</v>
      </c>
      <c r="Q152" s="3">
        <v>1.6</v>
      </c>
      <c r="R152" s="3">
        <v>2.2000000000000002</v>
      </c>
      <c r="S152" s="3">
        <v>1.5</v>
      </c>
      <c r="T152" s="3">
        <v>2.1</v>
      </c>
      <c r="U152" s="3">
        <v>2</v>
      </c>
      <c r="V152" s="3">
        <v>1.6</v>
      </c>
      <c r="W152" s="3">
        <v>1.2</v>
      </c>
      <c r="X152" s="3">
        <v>1.8</v>
      </c>
      <c r="Y152" s="3">
        <v>1.9</v>
      </c>
      <c r="Z152" s="3">
        <v>1.6</v>
      </c>
      <c r="AA152" s="3">
        <v>1.7</v>
      </c>
      <c r="AB152" s="3">
        <v>1.7</v>
      </c>
      <c r="AC152" s="3">
        <v>2.2000000000000002</v>
      </c>
      <c r="AD152" s="3">
        <v>2.8</v>
      </c>
      <c r="AE152" s="3">
        <v>1.7</v>
      </c>
      <c r="AF152" s="3">
        <v>2.7</v>
      </c>
      <c r="AG152" s="3">
        <v>3</v>
      </c>
      <c r="AH152" s="3">
        <v>3</v>
      </c>
      <c r="AI152" s="3"/>
      <c r="AJ152" s="3">
        <v>3.1</v>
      </c>
      <c r="AK152" s="3">
        <v>3.9</v>
      </c>
      <c r="AL152" s="3">
        <v>3</v>
      </c>
      <c r="AM152" s="3">
        <v>3.5</v>
      </c>
      <c r="AN152" s="10">
        <v>3.5</v>
      </c>
      <c r="AO152" s="10">
        <v>3.5</v>
      </c>
      <c r="AP152" s="10">
        <v>3</v>
      </c>
      <c r="AQ152" s="10">
        <v>3</v>
      </c>
      <c r="AR152" s="10">
        <v>3.3</v>
      </c>
      <c r="AS152" s="10">
        <v>4</v>
      </c>
      <c r="AT152" s="10">
        <v>4</v>
      </c>
      <c r="AU152" s="10">
        <v>4.7</v>
      </c>
      <c r="AV152" s="10">
        <v>4.0999999999999996</v>
      </c>
      <c r="AW152" s="10">
        <v>3.4</v>
      </c>
      <c r="AX152" s="10">
        <v>3.4</v>
      </c>
      <c r="AY152" s="10">
        <v>4.3</v>
      </c>
      <c r="AZ152" s="10">
        <v>3.8</v>
      </c>
      <c r="BA152" s="10">
        <v>3.9</v>
      </c>
      <c r="BB152" s="10">
        <v>3.9</v>
      </c>
    </row>
    <row r="153" spans="1:54" x14ac:dyDescent="0.25">
      <c r="B153" t="s">
        <v>5</v>
      </c>
      <c r="C153" s="3">
        <f>+C151+C152</f>
        <v>2.8</v>
      </c>
      <c r="D153" s="3">
        <f t="shared" ref="D153:AC153" si="131">+D151+D152</f>
        <v>2.8</v>
      </c>
      <c r="E153" s="3">
        <f t="shared" si="131"/>
        <v>0</v>
      </c>
      <c r="F153" s="3">
        <f t="shared" si="131"/>
        <v>2.5</v>
      </c>
      <c r="G153" s="3">
        <f t="shared" si="131"/>
        <v>1.6</v>
      </c>
      <c r="H153" s="3">
        <f t="shared" si="131"/>
        <v>1.1000000000000001</v>
      </c>
      <c r="I153" s="3">
        <f t="shared" si="131"/>
        <v>0.89999999999999991</v>
      </c>
      <c r="J153" s="3">
        <f t="shared" si="131"/>
        <v>1.1000000000000001</v>
      </c>
      <c r="K153" s="3">
        <f t="shared" si="131"/>
        <v>1.2999999999999998</v>
      </c>
      <c r="L153" s="3">
        <f t="shared" si="131"/>
        <v>1.4</v>
      </c>
      <c r="M153" s="3">
        <f t="shared" si="131"/>
        <v>0.7</v>
      </c>
      <c r="N153" s="3">
        <f t="shared" si="131"/>
        <v>1.2</v>
      </c>
      <c r="O153" s="3">
        <f t="shared" si="131"/>
        <v>1.4</v>
      </c>
      <c r="P153" s="3">
        <f t="shared" si="131"/>
        <v>1.9</v>
      </c>
      <c r="Q153" s="3">
        <f t="shared" si="131"/>
        <v>2.5</v>
      </c>
      <c r="R153" s="3">
        <f t="shared" si="131"/>
        <v>3</v>
      </c>
      <c r="S153" s="3">
        <f t="shared" si="131"/>
        <v>3</v>
      </c>
      <c r="T153" s="3">
        <f t="shared" si="131"/>
        <v>3</v>
      </c>
      <c r="U153" s="3">
        <f t="shared" si="131"/>
        <v>3.1</v>
      </c>
      <c r="V153" s="3">
        <f t="shared" si="131"/>
        <v>2.7</v>
      </c>
      <c r="W153" s="3">
        <f t="shared" si="131"/>
        <v>2.8</v>
      </c>
      <c r="X153" s="3">
        <f t="shared" si="131"/>
        <v>3</v>
      </c>
      <c r="Y153" s="3">
        <f t="shared" si="131"/>
        <v>3.2</v>
      </c>
      <c r="Z153" s="3">
        <f t="shared" si="131"/>
        <v>3.3</v>
      </c>
      <c r="AA153" s="3">
        <f t="shared" si="131"/>
        <v>3.0999999999999996</v>
      </c>
      <c r="AB153" s="3">
        <f t="shared" si="131"/>
        <v>3.0999999999999996</v>
      </c>
      <c r="AC153" s="3">
        <f t="shared" si="131"/>
        <v>5.3000000000000007</v>
      </c>
      <c r="AD153" s="3">
        <v>5.2</v>
      </c>
      <c r="AE153" s="3">
        <f t="shared" ref="AE153" si="132">+AE151+AE152</f>
        <v>5</v>
      </c>
      <c r="AF153" s="3">
        <f t="shared" ref="AF153" si="133">+AF151+AF152</f>
        <v>5.8000000000000007</v>
      </c>
      <c r="AG153" s="3">
        <f t="shared" ref="AG153" si="134">+AG151+AG152</f>
        <v>6.7</v>
      </c>
      <c r="AH153" s="3">
        <f t="shared" ref="AH153" si="135">+AH151+AH152</f>
        <v>6.9</v>
      </c>
      <c r="AI153" s="3">
        <f t="shared" ref="AI153" si="136">+AI151+AI152</f>
        <v>0</v>
      </c>
      <c r="AJ153" s="3">
        <f t="shared" ref="AJ153" si="137">+AJ151+AJ152</f>
        <v>7.9</v>
      </c>
      <c r="AK153" s="3">
        <f t="shared" ref="AK153" si="138">+AK151+AK152</f>
        <v>8.3000000000000007</v>
      </c>
      <c r="AL153" s="3">
        <f t="shared" ref="AL153" si="139">+AL151+AL152</f>
        <v>7.7</v>
      </c>
      <c r="AM153" s="3">
        <f t="shared" ref="AM153" si="140">+AM151+AM152</f>
        <v>7.6</v>
      </c>
      <c r="AN153" s="10">
        <v>7.6</v>
      </c>
      <c r="AO153" s="10">
        <v>7</v>
      </c>
      <c r="AP153" s="10">
        <v>6.7</v>
      </c>
      <c r="AQ153" s="10">
        <v>6.7</v>
      </c>
      <c r="AR153" s="10">
        <v>6.6</v>
      </c>
      <c r="AS153" s="10">
        <v>6.4</v>
      </c>
      <c r="AT153" s="10">
        <v>6.4</v>
      </c>
      <c r="AU153" s="10">
        <v>7</v>
      </c>
      <c r="AV153" s="10">
        <v>6.7</v>
      </c>
      <c r="AW153" s="10">
        <v>6.5</v>
      </c>
      <c r="AX153" s="10">
        <v>6.5</v>
      </c>
      <c r="AY153" s="10">
        <v>6.8</v>
      </c>
      <c r="AZ153" s="10">
        <v>6.3</v>
      </c>
      <c r="BA153" s="10">
        <v>5.9</v>
      </c>
      <c r="BB153" s="10">
        <v>5.6</v>
      </c>
    </row>
    <row r="155" spans="1:54" x14ac:dyDescent="0.25">
      <c r="B155" t="s">
        <v>2</v>
      </c>
      <c r="C155">
        <v>3</v>
      </c>
      <c r="D155">
        <v>3</v>
      </c>
      <c r="F155">
        <v>3</v>
      </c>
      <c r="G155">
        <v>3</v>
      </c>
      <c r="H155">
        <v>3</v>
      </c>
      <c r="I155">
        <v>3</v>
      </c>
      <c r="J155">
        <v>3</v>
      </c>
      <c r="K155">
        <v>3</v>
      </c>
      <c r="L155">
        <v>3</v>
      </c>
      <c r="M155">
        <v>3</v>
      </c>
      <c r="N155">
        <v>3</v>
      </c>
      <c r="O155">
        <v>3</v>
      </c>
      <c r="P155">
        <v>3</v>
      </c>
      <c r="Q155">
        <v>3</v>
      </c>
      <c r="R155">
        <v>3</v>
      </c>
      <c r="S155">
        <v>3</v>
      </c>
      <c r="T155">
        <v>3</v>
      </c>
      <c r="U155">
        <v>3</v>
      </c>
      <c r="V155">
        <v>3</v>
      </c>
      <c r="W155">
        <v>3</v>
      </c>
      <c r="X155">
        <v>3</v>
      </c>
      <c r="Y155">
        <v>3</v>
      </c>
      <c r="Z155">
        <v>3</v>
      </c>
      <c r="AA155">
        <v>3</v>
      </c>
      <c r="AB155">
        <v>3</v>
      </c>
      <c r="AC155">
        <v>2.5</v>
      </c>
      <c r="AD155" s="3">
        <v>2.5</v>
      </c>
      <c r="AE155">
        <v>2.5</v>
      </c>
      <c r="AF155">
        <v>2.5</v>
      </c>
      <c r="AG155">
        <v>2.5</v>
      </c>
      <c r="AH155">
        <v>2.5</v>
      </c>
      <c r="AJ155">
        <v>2.5</v>
      </c>
      <c r="AK155">
        <v>2.5</v>
      </c>
      <c r="AL155">
        <v>2.5</v>
      </c>
      <c r="AM155">
        <v>2.5</v>
      </c>
      <c r="AN155" s="10">
        <v>2.5</v>
      </c>
      <c r="AO155" s="10">
        <v>2.5</v>
      </c>
      <c r="AP155" s="10">
        <v>2.5</v>
      </c>
      <c r="AQ155" s="10">
        <v>2.5</v>
      </c>
      <c r="AR155" s="10">
        <v>2.5</v>
      </c>
      <c r="AS155" s="10">
        <v>3</v>
      </c>
      <c r="AT155" s="10">
        <v>3</v>
      </c>
      <c r="AU155" s="10">
        <v>3</v>
      </c>
      <c r="AV155" s="10">
        <v>3</v>
      </c>
      <c r="AW155" s="10">
        <v>3</v>
      </c>
      <c r="AX155" s="10">
        <v>3</v>
      </c>
      <c r="AY155" s="10">
        <v>3</v>
      </c>
      <c r="AZ155" s="10">
        <v>3</v>
      </c>
      <c r="BA155" s="10">
        <v>3</v>
      </c>
      <c r="BB155" s="10">
        <v>3</v>
      </c>
    </row>
    <row r="156" spans="1:54" x14ac:dyDescent="0.25">
      <c r="C156">
        <f>+C153*C155</f>
        <v>8.3999999999999986</v>
      </c>
      <c r="D156">
        <f t="shared" ref="D156:AL156" si="141">+D153*D155</f>
        <v>8.3999999999999986</v>
      </c>
      <c r="E156">
        <f t="shared" si="141"/>
        <v>0</v>
      </c>
      <c r="F156">
        <f t="shared" si="141"/>
        <v>7.5</v>
      </c>
      <c r="G156">
        <f t="shared" si="141"/>
        <v>4.8000000000000007</v>
      </c>
      <c r="H156">
        <f t="shared" si="141"/>
        <v>3.3000000000000003</v>
      </c>
      <c r="I156">
        <f t="shared" si="141"/>
        <v>2.6999999999999997</v>
      </c>
      <c r="J156">
        <f t="shared" si="141"/>
        <v>3.3000000000000003</v>
      </c>
      <c r="K156">
        <f t="shared" si="141"/>
        <v>3.8999999999999995</v>
      </c>
      <c r="L156">
        <f t="shared" si="141"/>
        <v>4.1999999999999993</v>
      </c>
      <c r="M156">
        <f t="shared" si="141"/>
        <v>2.0999999999999996</v>
      </c>
      <c r="N156">
        <f t="shared" si="141"/>
        <v>3.5999999999999996</v>
      </c>
      <c r="O156">
        <f t="shared" si="141"/>
        <v>4.1999999999999993</v>
      </c>
      <c r="P156">
        <f t="shared" si="141"/>
        <v>5.6999999999999993</v>
      </c>
      <c r="Q156">
        <f t="shared" si="141"/>
        <v>7.5</v>
      </c>
      <c r="R156">
        <f t="shared" si="141"/>
        <v>9</v>
      </c>
      <c r="S156">
        <f t="shared" si="141"/>
        <v>9</v>
      </c>
      <c r="T156">
        <f t="shared" si="141"/>
        <v>9</v>
      </c>
      <c r="U156">
        <f t="shared" si="141"/>
        <v>9.3000000000000007</v>
      </c>
      <c r="V156">
        <f t="shared" si="141"/>
        <v>8.1000000000000014</v>
      </c>
      <c r="W156">
        <f t="shared" si="141"/>
        <v>8.3999999999999986</v>
      </c>
      <c r="X156">
        <f t="shared" si="141"/>
        <v>9</v>
      </c>
      <c r="Y156">
        <f t="shared" si="141"/>
        <v>9.6000000000000014</v>
      </c>
      <c r="Z156">
        <f t="shared" si="141"/>
        <v>9.8999999999999986</v>
      </c>
      <c r="AA156">
        <f t="shared" si="141"/>
        <v>9.2999999999999989</v>
      </c>
      <c r="AB156">
        <f t="shared" si="141"/>
        <v>9.2999999999999989</v>
      </c>
      <c r="AC156">
        <f t="shared" si="141"/>
        <v>13.250000000000002</v>
      </c>
      <c r="AD156">
        <f t="shared" si="141"/>
        <v>13</v>
      </c>
      <c r="AE156">
        <f t="shared" si="141"/>
        <v>12.5</v>
      </c>
      <c r="AF156">
        <f t="shared" si="141"/>
        <v>14.500000000000002</v>
      </c>
      <c r="AG156">
        <f t="shared" si="141"/>
        <v>16.75</v>
      </c>
      <c r="AH156">
        <f t="shared" si="141"/>
        <v>17.25</v>
      </c>
      <c r="AI156">
        <f t="shared" si="141"/>
        <v>0</v>
      </c>
      <c r="AJ156">
        <f t="shared" si="141"/>
        <v>19.75</v>
      </c>
      <c r="AK156">
        <f t="shared" si="141"/>
        <v>20.75</v>
      </c>
      <c r="AL156">
        <f t="shared" si="141"/>
        <v>19.25</v>
      </c>
      <c r="AM156">
        <f t="shared" ref="AM156:AR156" si="142">+AM153*AM155</f>
        <v>19</v>
      </c>
      <c r="AN156" s="10">
        <f t="shared" si="142"/>
        <v>19</v>
      </c>
      <c r="AO156" s="10">
        <f t="shared" si="142"/>
        <v>17.5</v>
      </c>
      <c r="AP156" s="10">
        <f t="shared" si="142"/>
        <v>16.75</v>
      </c>
      <c r="AQ156" s="10">
        <f t="shared" si="142"/>
        <v>16.75</v>
      </c>
      <c r="AR156" s="10">
        <f t="shared" si="142"/>
        <v>16.5</v>
      </c>
      <c r="AS156" s="10">
        <f t="shared" ref="AS156:BB156" si="143">+AS153*AS155</f>
        <v>19.200000000000003</v>
      </c>
      <c r="AT156" s="10">
        <f t="shared" si="143"/>
        <v>19.200000000000003</v>
      </c>
      <c r="AU156" s="10">
        <f t="shared" si="143"/>
        <v>21</v>
      </c>
      <c r="AV156" s="10">
        <f t="shared" si="143"/>
        <v>20.100000000000001</v>
      </c>
      <c r="AW156" s="10">
        <f t="shared" si="143"/>
        <v>19.5</v>
      </c>
      <c r="AX156" s="10">
        <f t="shared" si="143"/>
        <v>19.5</v>
      </c>
      <c r="AY156" s="10">
        <f t="shared" si="143"/>
        <v>20.399999999999999</v>
      </c>
      <c r="AZ156" s="10">
        <f t="shared" si="143"/>
        <v>18.899999999999999</v>
      </c>
      <c r="BA156" s="10">
        <f t="shared" si="143"/>
        <v>17.700000000000003</v>
      </c>
      <c r="BB156" s="10">
        <f t="shared" si="143"/>
        <v>16.799999999999997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952C2-3038-4E83-88DE-79F5362257FB}">
  <sheetPr>
    <pageSetUpPr fitToPage="1"/>
  </sheetPr>
  <dimension ref="A3:T57"/>
  <sheetViews>
    <sheetView tabSelected="1" zoomScale="80" zoomScaleNormal="80" workbookViewId="0">
      <pane ySplit="4" topLeftCell="A8" activePane="bottomLeft" state="frozen"/>
      <selection pane="bottomLeft" activeCell="K21" sqref="K21"/>
    </sheetView>
  </sheetViews>
  <sheetFormatPr defaultRowHeight="15" x14ac:dyDescent="0.25"/>
  <sheetData>
    <row r="3" spans="1:20" x14ac:dyDescent="0.25">
      <c r="G3" s="5" t="s">
        <v>6</v>
      </c>
      <c r="H3" s="5"/>
      <c r="R3" s="5" t="s">
        <v>7</v>
      </c>
      <c r="S3" s="5"/>
    </row>
    <row r="4" spans="1:20" x14ac:dyDescent="0.25">
      <c r="A4" s="8" t="s">
        <v>8</v>
      </c>
      <c r="B4" s="8">
        <v>2026</v>
      </c>
      <c r="C4" s="8">
        <v>2025</v>
      </c>
      <c r="D4" s="8">
        <v>2024</v>
      </c>
      <c r="E4" s="8">
        <v>2023</v>
      </c>
      <c r="F4" s="8">
        <v>2022</v>
      </c>
      <c r="G4" s="8">
        <v>2021</v>
      </c>
      <c r="H4" s="5">
        <v>2020</v>
      </c>
      <c r="I4" s="5">
        <v>2019</v>
      </c>
      <c r="K4" s="5"/>
      <c r="L4" s="9" t="s">
        <v>8</v>
      </c>
      <c r="M4" s="9">
        <v>2026</v>
      </c>
      <c r="N4" s="9">
        <v>2025</v>
      </c>
      <c r="O4" s="9">
        <v>2024</v>
      </c>
      <c r="P4" s="9">
        <v>2023</v>
      </c>
      <c r="Q4" s="9">
        <v>2022</v>
      </c>
      <c r="R4" s="9">
        <v>2021</v>
      </c>
      <c r="S4" s="5">
        <v>2020</v>
      </c>
      <c r="T4" s="5">
        <v>2019</v>
      </c>
    </row>
    <row r="5" spans="1:20" x14ac:dyDescent="0.25">
      <c r="A5" s="8"/>
      <c r="B5" s="8"/>
      <c r="C5" s="8"/>
      <c r="D5" s="8"/>
      <c r="E5" s="8"/>
      <c r="F5" s="8"/>
      <c r="G5" s="8"/>
      <c r="H5" s="5"/>
      <c r="I5" s="5"/>
      <c r="K5" s="5"/>
      <c r="L5" s="6"/>
      <c r="M5" s="6"/>
      <c r="N5" s="6"/>
      <c r="O5" s="6"/>
      <c r="P5" s="6"/>
      <c r="Q5" s="6"/>
      <c r="R5" s="6"/>
      <c r="S5" s="5"/>
      <c r="T5" s="5"/>
    </row>
    <row r="6" spans="1:20" x14ac:dyDescent="0.25">
      <c r="A6" s="7">
        <v>1</v>
      </c>
      <c r="B6" s="15">
        <v>15.2</v>
      </c>
      <c r="C6" s="15">
        <v>16.8</v>
      </c>
      <c r="D6" s="15">
        <v>24.2</v>
      </c>
      <c r="E6" s="3">
        <v>10.199999999999999</v>
      </c>
      <c r="F6" s="3">
        <v>25.3</v>
      </c>
      <c r="G6" s="3">
        <v>19.25</v>
      </c>
      <c r="H6" s="3">
        <v>9.8000000000000007</v>
      </c>
      <c r="I6" s="3">
        <v>7.2</v>
      </c>
      <c r="L6" s="7">
        <v>1</v>
      </c>
      <c r="M6" s="15">
        <v>34</v>
      </c>
      <c r="N6" s="15">
        <v>32.5</v>
      </c>
      <c r="O6" s="15">
        <v>44</v>
      </c>
      <c r="P6" s="3">
        <v>24.4</v>
      </c>
      <c r="Q6" s="3">
        <v>50.8</v>
      </c>
      <c r="R6" s="3">
        <v>32.82</v>
      </c>
      <c r="S6" s="3">
        <v>14.100000000000001</v>
      </c>
      <c r="T6" s="3">
        <v>8.4</v>
      </c>
    </row>
    <row r="7" spans="1:20" x14ac:dyDescent="0.25">
      <c r="A7" s="7">
        <v>2</v>
      </c>
      <c r="B7" s="15">
        <v>14.2</v>
      </c>
      <c r="C7" s="15">
        <v>16.8</v>
      </c>
      <c r="D7" s="15">
        <v>23</v>
      </c>
      <c r="E7" s="3">
        <v>10</v>
      </c>
      <c r="F7" s="3">
        <v>24.2</v>
      </c>
      <c r="G7" s="3">
        <v>18.7</v>
      </c>
      <c r="H7" s="3">
        <v>9.1999999999999993</v>
      </c>
      <c r="I7" s="3">
        <v>7.2</v>
      </c>
      <c r="L7" s="7">
        <v>2</v>
      </c>
      <c r="M7" s="15">
        <v>32.5</v>
      </c>
      <c r="N7" s="15">
        <v>31</v>
      </c>
      <c r="O7" s="15">
        <v>42</v>
      </c>
      <c r="P7" s="3">
        <v>24</v>
      </c>
      <c r="Q7" s="3">
        <v>47.6</v>
      </c>
      <c r="R7" s="3">
        <v>33.5</v>
      </c>
      <c r="S7" s="3">
        <v>13.200000000000001</v>
      </c>
      <c r="T7" s="3">
        <v>8.3999999999999986</v>
      </c>
    </row>
    <row r="8" spans="1:20" x14ac:dyDescent="0.25">
      <c r="A8" s="7">
        <v>3</v>
      </c>
      <c r="B8" s="15">
        <v>12.2</v>
      </c>
      <c r="C8" s="15">
        <v>17</v>
      </c>
      <c r="D8" s="15">
        <v>24.2</v>
      </c>
      <c r="E8" s="3">
        <v>9.6</v>
      </c>
      <c r="F8" s="3">
        <v>23.925000000000001</v>
      </c>
      <c r="G8" s="3">
        <v>17.05</v>
      </c>
      <c r="H8" s="3">
        <v>8.1999999999999993</v>
      </c>
      <c r="I8" s="14">
        <v>7.2</v>
      </c>
      <c r="L8" s="7">
        <v>3</v>
      </c>
      <c r="M8" s="15">
        <v>30</v>
      </c>
      <c r="N8" s="15">
        <v>29</v>
      </c>
      <c r="O8" s="15">
        <v>42</v>
      </c>
      <c r="P8" s="3">
        <v>21.6</v>
      </c>
      <c r="Q8" s="3">
        <v>46.8</v>
      </c>
      <c r="R8" s="3">
        <v>30.87</v>
      </c>
      <c r="S8" s="3">
        <v>15.899999999999999</v>
      </c>
      <c r="T8" s="14">
        <v>8.4</v>
      </c>
    </row>
    <row r="9" spans="1:20" x14ac:dyDescent="0.25">
      <c r="A9" s="7">
        <v>4</v>
      </c>
      <c r="B9" s="15">
        <v>10.199999999999999</v>
      </c>
      <c r="C9" s="15">
        <v>16.600000000000001</v>
      </c>
      <c r="D9" s="15">
        <v>23.6</v>
      </c>
      <c r="E9" s="3">
        <v>9</v>
      </c>
      <c r="F9" s="3">
        <v>23.925000000000001</v>
      </c>
      <c r="G9" s="3">
        <v>16.78</v>
      </c>
      <c r="H9" s="3">
        <v>7.6</v>
      </c>
      <c r="I9" s="3">
        <v>6.6</v>
      </c>
      <c r="L9" s="7">
        <v>4</v>
      </c>
      <c r="M9" s="15">
        <v>26</v>
      </c>
      <c r="N9" s="15">
        <v>28</v>
      </c>
      <c r="O9" s="15">
        <v>39</v>
      </c>
      <c r="P9" s="3">
        <v>19.600000000000001</v>
      </c>
      <c r="Q9" s="3">
        <v>44.8</v>
      </c>
      <c r="R9" s="3">
        <v>29.25</v>
      </c>
      <c r="S9" s="3">
        <v>15.600000000000001</v>
      </c>
      <c r="T9" s="3">
        <v>7.5</v>
      </c>
    </row>
    <row r="10" spans="1:20" x14ac:dyDescent="0.25">
      <c r="A10" s="7">
        <v>5</v>
      </c>
      <c r="B10" s="15">
        <v>9.1999999999999993</v>
      </c>
      <c r="C10" s="15">
        <v>15.4</v>
      </c>
      <c r="D10" s="15">
        <v>23.2</v>
      </c>
      <c r="E10" s="3">
        <v>8.4</v>
      </c>
      <c r="F10" s="3">
        <v>21.45</v>
      </c>
      <c r="G10" s="3">
        <v>15.95</v>
      </c>
      <c r="H10" s="3">
        <v>5.6</v>
      </c>
      <c r="I10" s="3">
        <v>4.5999999999999996</v>
      </c>
      <c r="L10" s="7">
        <v>5</v>
      </c>
      <c r="M10" s="15">
        <v>22.5</v>
      </c>
      <c r="N10" s="15">
        <v>25</v>
      </c>
      <c r="O10" s="15">
        <v>37</v>
      </c>
      <c r="P10" s="3">
        <v>19.2</v>
      </c>
      <c r="Q10" s="3">
        <v>42.8</v>
      </c>
      <c r="R10" s="3">
        <v>27.3</v>
      </c>
      <c r="S10" s="3">
        <v>12.299999999999999</v>
      </c>
      <c r="T10" s="3">
        <v>4.8000000000000007</v>
      </c>
    </row>
    <row r="11" spans="1:20" x14ac:dyDescent="0.25">
      <c r="A11" s="7">
        <v>6</v>
      </c>
      <c r="B11" s="15">
        <v>9</v>
      </c>
      <c r="C11" s="15">
        <f>14.8</f>
        <v>14.8</v>
      </c>
      <c r="D11" s="15">
        <v>21.5</v>
      </c>
      <c r="E11" s="3">
        <v>5.8</v>
      </c>
      <c r="F11" s="3">
        <v>21.175000000000001</v>
      </c>
      <c r="G11" s="3">
        <v>14.574999999999999</v>
      </c>
      <c r="H11" s="3">
        <v>6.1999999999999993</v>
      </c>
      <c r="I11" s="3">
        <v>3.4</v>
      </c>
      <c r="L11" s="7">
        <v>6</v>
      </c>
      <c r="M11" s="15">
        <v>22</v>
      </c>
      <c r="N11" s="15">
        <v>22.5</v>
      </c>
      <c r="O11" s="15">
        <v>34</v>
      </c>
      <c r="P11" s="3">
        <v>16.8</v>
      </c>
      <c r="Q11" s="3">
        <v>40.799999999999997</v>
      </c>
      <c r="R11" s="3">
        <v>25.675000000000001</v>
      </c>
      <c r="S11" s="3">
        <v>12.600000000000001</v>
      </c>
      <c r="T11" s="3">
        <v>3.3000000000000003</v>
      </c>
    </row>
    <row r="12" spans="1:20" x14ac:dyDescent="0.25">
      <c r="A12" s="7">
        <v>7</v>
      </c>
      <c r="B12" s="15">
        <v>7.8</v>
      </c>
      <c r="C12" s="15">
        <v>13</v>
      </c>
      <c r="D12" s="15">
        <v>19.5</v>
      </c>
      <c r="E12" s="3">
        <v>5.2</v>
      </c>
      <c r="F12" s="3">
        <v>19.524999999999999</v>
      </c>
      <c r="G12" s="3">
        <v>13.75</v>
      </c>
      <c r="H12" s="3">
        <v>6.4</v>
      </c>
      <c r="I12" s="3">
        <v>3.4000000000000004</v>
      </c>
      <c r="L12" s="7">
        <v>7</v>
      </c>
      <c r="M12" s="15">
        <v>18.5</v>
      </c>
      <c r="N12" s="15">
        <v>18.5</v>
      </c>
      <c r="O12" s="15">
        <v>31</v>
      </c>
      <c r="P12" s="3">
        <v>16.399999999999999</v>
      </c>
      <c r="Q12" s="3">
        <v>36.799999999999997</v>
      </c>
      <c r="R12" s="3">
        <v>24.375</v>
      </c>
      <c r="S12" s="3">
        <v>12.900000000000002</v>
      </c>
      <c r="T12" s="3">
        <v>2.6999999999999997</v>
      </c>
    </row>
    <row r="13" spans="1:20" x14ac:dyDescent="0.25">
      <c r="A13" s="7">
        <v>8</v>
      </c>
      <c r="B13" s="15">
        <v>7</v>
      </c>
      <c r="C13" s="15">
        <v>12.8</v>
      </c>
      <c r="D13" s="15">
        <v>18</v>
      </c>
      <c r="E13" s="3">
        <v>4.5999999999999996</v>
      </c>
      <c r="F13" s="3">
        <v>18.149999999999999</v>
      </c>
      <c r="G13" s="3">
        <v>12.65</v>
      </c>
      <c r="H13" s="3">
        <v>5.6</v>
      </c>
      <c r="I13" s="3">
        <v>2.9</v>
      </c>
      <c r="L13" s="7">
        <v>8</v>
      </c>
      <c r="M13" s="15">
        <v>16</v>
      </c>
      <c r="N13" s="15">
        <v>17.5</v>
      </c>
      <c r="O13" s="15">
        <v>28.5</v>
      </c>
      <c r="P13" s="3">
        <v>18.399999999999999</v>
      </c>
      <c r="Q13" s="3">
        <v>34</v>
      </c>
      <c r="R13" s="3">
        <v>22.75</v>
      </c>
      <c r="S13" s="3">
        <v>12.299999999999999</v>
      </c>
      <c r="T13" s="3">
        <v>3.3000000000000003</v>
      </c>
    </row>
    <row r="14" spans="1:20" x14ac:dyDescent="0.25">
      <c r="A14" s="7">
        <v>9</v>
      </c>
      <c r="B14" s="15">
        <v>5.4</v>
      </c>
      <c r="C14" s="15">
        <v>11.2</v>
      </c>
      <c r="D14" s="15">
        <v>17.5</v>
      </c>
      <c r="E14" s="3">
        <v>4.4000000000000004</v>
      </c>
      <c r="F14" s="3">
        <v>17.324999999999999</v>
      </c>
      <c r="G14" s="3">
        <v>10.725</v>
      </c>
      <c r="H14" s="3">
        <v>4.5999999999999996</v>
      </c>
      <c r="I14" s="3">
        <v>3.5999999999999996</v>
      </c>
      <c r="L14" s="7">
        <v>9</v>
      </c>
      <c r="M14" s="15">
        <v>14.5</v>
      </c>
      <c r="N14" s="15">
        <v>17</v>
      </c>
      <c r="O14" s="15">
        <v>25</v>
      </c>
      <c r="P14" s="3">
        <v>18</v>
      </c>
      <c r="Q14" s="3">
        <v>30.4</v>
      </c>
      <c r="R14" s="3">
        <v>21</v>
      </c>
      <c r="S14" s="3">
        <v>12</v>
      </c>
      <c r="T14" s="3">
        <v>3.8999999999999995</v>
      </c>
    </row>
    <row r="15" spans="1:20" x14ac:dyDescent="0.25">
      <c r="A15" s="7">
        <v>10</v>
      </c>
      <c r="B15" s="15">
        <v>5.6</v>
      </c>
      <c r="C15" s="15">
        <v>10.8</v>
      </c>
      <c r="D15" s="15">
        <v>18.5</v>
      </c>
      <c r="E15" s="3">
        <v>5</v>
      </c>
      <c r="F15" s="3">
        <v>15.95</v>
      </c>
      <c r="G15" s="3">
        <v>9.625</v>
      </c>
      <c r="H15" s="3">
        <v>4.4000000000000004</v>
      </c>
      <c r="I15" s="3">
        <v>4.7</v>
      </c>
      <c r="L15" s="7">
        <v>10</v>
      </c>
      <c r="M15" s="15">
        <v>13.5</v>
      </c>
      <c r="N15" s="15">
        <v>16</v>
      </c>
      <c r="O15" s="15">
        <v>23.5</v>
      </c>
      <c r="P15" s="3">
        <v>16.399999999999999</v>
      </c>
      <c r="Q15" s="3">
        <v>29.2</v>
      </c>
      <c r="R15" s="3">
        <v>18.375</v>
      </c>
      <c r="S15" s="3">
        <v>9.3000000000000007</v>
      </c>
      <c r="T15" s="3">
        <v>4.1999999999999993</v>
      </c>
    </row>
    <row r="16" spans="1:20" x14ac:dyDescent="0.25">
      <c r="A16" s="7">
        <v>11</v>
      </c>
      <c r="B16" s="15"/>
      <c r="C16" s="15">
        <v>9.8000000000000007</v>
      </c>
      <c r="D16" s="15">
        <v>19</v>
      </c>
      <c r="E16" s="3">
        <v>4</v>
      </c>
      <c r="F16" s="3">
        <v>15.675000000000001</v>
      </c>
      <c r="G16" s="3">
        <v>9.9</v>
      </c>
      <c r="H16" s="3">
        <v>4.5999999999999996</v>
      </c>
      <c r="I16" s="3">
        <v>4.2</v>
      </c>
      <c r="L16" s="7">
        <v>11</v>
      </c>
      <c r="M16" s="15"/>
      <c r="N16" s="15">
        <v>14</v>
      </c>
      <c r="O16" s="15">
        <v>22</v>
      </c>
      <c r="P16" s="3">
        <v>15.6</v>
      </c>
      <c r="Q16" s="3">
        <v>27.2</v>
      </c>
      <c r="R16" s="3">
        <v>18</v>
      </c>
      <c r="S16" s="3">
        <v>9</v>
      </c>
      <c r="T16" s="3">
        <v>2.0999999999999996</v>
      </c>
    </row>
    <row r="17" spans="1:20" x14ac:dyDescent="0.25">
      <c r="A17" s="7">
        <v>12</v>
      </c>
      <c r="B17" s="15"/>
      <c r="C17" s="15">
        <v>10.4</v>
      </c>
      <c r="D17" s="15">
        <v>18.25</v>
      </c>
      <c r="E17" s="3">
        <v>3.8</v>
      </c>
      <c r="F17" s="3">
        <v>15.95</v>
      </c>
      <c r="G17" s="3">
        <v>9.35</v>
      </c>
      <c r="H17" s="3">
        <v>4.8</v>
      </c>
      <c r="I17" s="3">
        <v>4.4000000000000004</v>
      </c>
      <c r="L17" s="7">
        <v>12</v>
      </c>
      <c r="M17" s="15"/>
      <c r="N17" s="15">
        <v>14.5</v>
      </c>
      <c r="O17" s="15">
        <v>22.5</v>
      </c>
      <c r="P17" s="3">
        <v>13.2</v>
      </c>
      <c r="Q17" s="3">
        <v>26.4</v>
      </c>
      <c r="R17" s="3">
        <v>16.5</v>
      </c>
      <c r="S17" s="3">
        <v>9.3000000000000007</v>
      </c>
      <c r="T17" s="3">
        <v>3.5999999999999996</v>
      </c>
    </row>
    <row r="18" spans="1:20" x14ac:dyDescent="0.25">
      <c r="A18" s="7">
        <v>13</v>
      </c>
      <c r="B18" s="15"/>
      <c r="C18" s="15">
        <v>12</v>
      </c>
      <c r="D18" s="15">
        <v>17.75</v>
      </c>
      <c r="E18" s="3">
        <v>4</v>
      </c>
      <c r="F18" s="3">
        <v>14.85</v>
      </c>
      <c r="G18" s="3">
        <v>10.45</v>
      </c>
      <c r="H18" s="3">
        <v>4.8</v>
      </c>
      <c r="I18" s="3">
        <v>4.7</v>
      </c>
      <c r="L18" s="7">
        <v>13</v>
      </c>
      <c r="M18" s="15"/>
      <c r="N18" s="15">
        <v>17.5</v>
      </c>
      <c r="O18" s="15">
        <v>22.5</v>
      </c>
      <c r="P18" s="3">
        <v>12.4</v>
      </c>
      <c r="Q18" s="3">
        <v>26.4</v>
      </c>
      <c r="R18" s="3">
        <v>17.625</v>
      </c>
      <c r="S18" s="3">
        <v>9.2999999999999989</v>
      </c>
      <c r="T18" s="3">
        <v>4.1999999999999993</v>
      </c>
    </row>
    <row r="19" spans="1:20" x14ac:dyDescent="0.25">
      <c r="A19" s="7">
        <v>14</v>
      </c>
      <c r="B19" s="15"/>
      <c r="C19" s="15">
        <v>11.8</v>
      </c>
      <c r="D19" s="15">
        <v>17.75</v>
      </c>
      <c r="E19" s="3">
        <v>4.8</v>
      </c>
      <c r="F19" s="3">
        <v>15.95</v>
      </c>
      <c r="G19" s="3">
        <v>11.824999999999999</v>
      </c>
      <c r="H19" s="3">
        <v>4.8</v>
      </c>
      <c r="I19" s="3">
        <v>5.4</v>
      </c>
      <c r="L19" s="7">
        <v>14</v>
      </c>
      <c r="M19" s="15"/>
      <c r="N19" s="15">
        <v>19.5</v>
      </c>
      <c r="O19" s="15">
        <v>23</v>
      </c>
      <c r="P19" s="3">
        <v>10.8</v>
      </c>
      <c r="Q19" s="3">
        <v>26.8</v>
      </c>
      <c r="R19" s="3">
        <v>20.25</v>
      </c>
      <c r="S19" s="3">
        <v>9.6000000000000014</v>
      </c>
      <c r="T19" s="3">
        <v>5.6999999999999993</v>
      </c>
    </row>
    <row r="20" spans="1:20" x14ac:dyDescent="0.25">
      <c r="A20" s="7">
        <v>15</v>
      </c>
      <c r="B20" s="15"/>
      <c r="C20" s="15">
        <v>12</v>
      </c>
      <c r="D20" s="15">
        <v>18.25</v>
      </c>
      <c r="E20" s="3">
        <v>5.2</v>
      </c>
      <c r="F20" s="3">
        <v>15.125</v>
      </c>
      <c r="G20" s="3">
        <v>12.375</v>
      </c>
      <c r="H20" s="3">
        <v>5.4</v>
      </c>
      <c r="I20" s="3">
        <v>5.3</v>
      </c>
      <c r="L20" s="7">
        <v>15</v>
      </c>
      <c r="M20" s="15"/>
      <c r="N20" s="15">
        <v>21.5</v>
      </c>
      <c r="O20" s="15">
        <v>23.5</v>
      </c>
      <c r="P20" s="3">
        <v>12.8</v>
      </c>
      <c r="Q20" s="3">
        <v>26.8</v>
      </c>
      <c r="R20" s="3">
        <v>22.5</v>
      </c>
      <c r="S20" s="3">
        <v>9.6000000000000014</v>
      </c>
      <c r="T20" s="3">
        <v>7.5</v>
      </c>
    </row>
    <row r="21" spans="1:20" x14ac:dyDescent="0.25">
      <c r="A21" s="7">
        <v>16</v>
      </c>
      <c r="B21" s="15"/>
      <c r="C21" s="15">
        <v>12.2</v>
      </c>
      <c r="D21" s="15">
        <v>19.25</v>
      </c>
      <c r="E21" s="3">
        <v>6</v>
      </c>
      <c r="F21" s="3">
        <v>15.4</v>
      </c>
      <c r="G21" s="3">
        <v>14.574999999999999</v>
      </c>
      <c r="H21" s="3">
        <v>8.1999999999999993</v>
      </c>
      <c r="I21" s="3">
        <v>6.5</v>
      </c>
      <c r="L21" s="7">
        <v>16</v>
      </c>
      <c r="M21" s="15"/>
      <c r="N21" s="15">
        <v>21</v>
      </c>
      <c r="O21" s="15">
        <v>24.5</v>
      </c>
      <c r="P21" s="3">
        <v>12.8</v>
      </c>
      <c r="Q21" s="3">
        <v>26</v>
      </c>
      <c r="R21" s="3">
        <v>25.5</v>
      </c>
      <c r="S21" s="3">
        <v>12</v>
      </c>
      <c r="T21" s="3">
        <v>9</v>
      </c>
    </row>
    <row r="22" spans="1:20" x14ac:dyDescent="0.25">
      <c r="A22" s="7">
        <v>17</v>
      </c>
      <c r="B22" s="15"/>
      <c r="C22" s="15">
        <v>12.2</v>
      </c>
      <c r="D22" s="15">
        <v>20</v>
      </c>
      <c r="E22" s="3">
        <v>6.8</v>
      </c>
      <c r="F22" s="3">
        <v>13.475</v>
      </c>
      <c r="G22" s="3">
        <v>15.675000000000001</v>
      </c>
      <c r="H22" s="3">
        <v>8.8000000000000007</v>
      </c>
      <c r="I22" s="3">
        <v>6.9</v>
      </c>
      <c r="L22" s="7">
        <v>17</v>
      </c>
      <c r="M22" s="15"/>
      <c r="N22" s="15">
        <v>19</v>
      </c>
      <c r="O22" s="15">
        <v>26</v>
      </c>
      <c r="P22" s="3">
        <v>14</v>
      </c>
      <c r="Q22" s="3">
        <v>26.4</v>
      </c>
      <c r="R22" s="3">
        <v>26.25</v>
      </c>
      <c r="S22" s="3">
        <v>12.299999999999999</v>
      </c>
      <c r="T22" s="3">
        <v>9</v>
      </c>
    </row>
    <row r="23" spans="1:20" x14ac:dyDescent="0.25">
      <c r="A23" s="7">
        <v>18</v>
      </c>
      <c r="B23" s="15"/>
      <c r="C23" s="15">
        <v>13.25</v>
      </c>
      <c r="D23" s="15">
        <v>20</v>
      </c>
      <c r="E23" s="15">
        <v>6</v>
      </c>
      <c r="F23" s="15">
        <v>13.75</v>
      </c>
      <c r="G23" s="15">
        <v>17.600000000000001</v>
      </c>
      <c r="H23" s="15">
        <v>10</v>
      </c>
      <c r="I23" s="15">
        <v>7.8</v>
      </c>
      <c r="J23" s="15"/>
      <c r="K23" s="15"/>
      <c r="L23" s="7">
        <v>18</v>
      </c>
      <c r="M23" s="15"/>
      <c r="N23" s="15">
        <v>18.7</v>
      </c>
      <c r="O23" s="15">
        <v>26</v>
      </c>
      <c r="P23" s="3">
        <v>13.2</v>
      </c>
      <c r="Q23" s="3">
        <v>26.8</v>
      </c>
      <c r="R23" s="3">
        <v>26.25</v>
      </c>
      <c r="S23" s="3">
        <v>15.599999999999998</v>
      </c>
      <c r="T23" s="3">
        <v>9</v>
      </c>
    </row>
    <row r="24" spans="1:20" x14ac:dyDescent="0.25">
      <c r="A24" s="7">
        <v>19</v>
      </c>
      <c r="B24" s="15"/>
      <c r="C24" s="15">
        <v>13</v>
      </c>
      <c r="D24" s="15">
        <v>20</v>
      </c>
      <c r="E24" s="3">
        <v>6.6</v>
      </c>
      <c r="F24" s="3">
        <v>14.3</v>
      </c>
      <c r="G24" s="3">
        <v>20.350000000000001</v>
      </c>
      <c r="H24" s="3">
        <v>10.6</v>
      </c>
      <c r="I24" s="3">
        <v>7.6</v>
      </c>
      <c r="L24" s="7">
        <v>19</v>
      </c>
      <c r="M24" s="15"/>
      <c r="N24" s="15">
        <v>20.350000000000001</v>
      </c>
      <c r="O24" s="15">
        <v>26</v>
      </c>
      <c r="P24" s="3">
        <v>12.4</v>
      </c>
      <c r="Q24" s="3">
        <v>28.4</v>
      </c>
      <c r="R24" s="3">
        <v>28.125</v>
      </c>
      <c r="S24" s="3">
        <v>15.900000000000002</v>
      </c>
      <c r="T24" s="3">
        <v>9.3000000000000007</v>
      </c>
    </row>
    <row r="25" spans="1:20" x14ac:dyDescent="0.25">
      <c r="A25" s="7">
        <v>20</v>
      </c>
      <c r="B25" s="15"/>
      <c r="C25" s="15">
        <v>12.5</v>
      </c>
      <c r="D25" s="15">
        <v>22</v>
      </c>
      <c r="E25" s="3">
        <v>7</v>
      </c>
      <c r="F25" s="3">
        <v>14.3</v>
      </c>
      <c r="G25" s="3">
        <v>22.274999999999999</v>
      </c>
      <c r="H25" s="3">
        <v>10.6</v>
      </c>
      <c r="I25" s="3">
        <v>7.8</v>
      </c>
      <c r="L25" s="7">
        <v>20</v>
      </c>
      <c r="M25" s="15"/>
      <c r="N25" s="15">
        <v>19.25</v>
      </c>
      <c r="O25" s="15">
        <v>27.5</v>
      </c>
      <c r="P25" s="3">
        <v>15.6</v>
      </c>
      <c r="Q25" s="3">
        <v>28.4</v>
      </c>
      <c r="R25" s="3">
        <v>28.5</v>
      </c>
      <c r="S25" s="14">
        <v>15.9</v>
      </c>
      <c r="T25" s="3">
        <v>8.1000000000000014</v>
      </c>
    </row>
    <row r="26" spans="1:20" x14ac:dyDescent="0.25">
      <c r="A26" s="7">
        <v>21</v>
      </c>
      <c r="B26" s="15"/>
      <c r="C26" s="15">
        <v>13.75</v>
      </c>
      <c r="D26" s="15">
        <v>23.25</v>
      </c>
      <c r="E26" s="3">
        <v>9.6</v>
      </c>
      <c r="F26" s="3">
        <v>13.475</v>
      </c>
      <c r="G26" s="3">
        <v>21.725000000000001</v>
      </c>
      <c r="H26" s="3">
        <v>11.8</v>
      </c>
      <c r="I26" s="3">
        <v>7.8</v>
      </c>
      <c r="L26" s="7">
        <v>21</v>
      </c>
      <c r="M26" s="15"/>
      <c r="N26" s="15">
        <v>18.7</v>
      </c>
      <c r="O26" s="15">
        <v>28</v>
      </c>
      <c r="P26" s="3">
        <v>14</v>
      </c>
      <c r="Q26" s="3">
        <v>30.4</v>
      </c>
      <c r="R26" s="3">
        <v>27.75</v>
      </c>
      <c r="S26" s="3">
        <v>16.799999999999997</v>
      </c>
      <c r="T26" s="3">
        <v>8.3999999999999986</v>
      </c>
    </row>
    <row r="27" spans="1:20" x14ac:dyDescent="0.25">
      <c r="A27" s="7">
        <v>22</v>
      </c>
      <c r="B27" s="15"/>
      <c r="C27" s="15">
        <v>12.5</v>
      </c>
      <c r="D27" s="15">
        <v>25</v>
      </c>
      <c r="E27" s="3">
        <v>8.4</v>
      </c>
      <c r="F27" s="3">
        <v>12.925000000000001</v>
      </c>
      <c r="G27" s="3">
        <v>22.824999999999999</v>
      </c>
      <c r="H27" s="3">
        <v>11.8</v>
      </c>
      <c r="I27" s="3">
        <v>7.8000000000000007</v>
      </c>
      <c r="L27" s="7">
        <v>22</v>
      </c>
      <c r="M27" s="15"/>
      <c r="N27" s="15">
        <v>19.25</v>
      </c>
      <c r="O27" s="15">
        <v>28.5</v>
      </c>
      <c r="P27" s="3">
        <v>13.6</v>
      </c>
      <c r="Q27" s="3">
        <v>30.8</v>
      </c>
      <c r="R27" s="3">
        <v>28.5</v>
      </c>
      <c r="S27" s="3">
        <v>17.100000000000001</v>
      </c>
      <c r="T27" s="3">
        <v>9</v>
      </c>
    </row>
    <row r="28" spans="1:20" x14ac:dyDescent="0.25">
      <c r="A28" s="7">
        <v>23</v>
      </c>
      <c r="B28" s="15"/>
      <c r="C28" s="15">
        <v>14.25</v>
      </c>
      <c r="D28" s="15">
        <v>25.25</v>
      </c>
      <c r="E28" s="3">
        <v>8.8000000000000007</v>
      </c>
      <c r="F28" s="3">
        <v>12.925000000000001</v>
      </c>
      <c r="G28" s="3">
        <v>23.375</v>
      </c>
      <c r="H28" s="3">
        <v>12.8</v>
      </c>
      <c r="I28" s="3">
        <v>8.8000000000000007</v>
      </c>
      <c r="L28" s="7">
        <v>23</v>
      </c>
      <c r="M28" s="15"/>
      <c r="N28" s="15">
        <v>20.350000000000001</v>
      </c>
      <c r="O28" s="15">
        <v>29.5</v>
      </c>
      <c r="P28" s="3">
        <v>14</v>
      </c>
      <c r="Q28" s="3">
        <v>31.6</v>
      </c>
      <c r="R28" s="3">
        <v>28.5</v>
      </c>
      <c r="S28" s="3">
        <v>19.200000000000003</v>
      </c>
      <c r="T28" s="3">
        <v>9.6000000000000014</v>
      </c>
    </row>
    <row r="29" spans="1:20" x14ac:dyDescent="0.25">
      <c r="A29" s="7">
        <v>24</v>
      </c>
      <c r="B29" s="15"/>
      <c r="C29" s="15">
        <v>14.25</v>
      </c>
      <c r="D29" s="15">
        <v>25.75</v>
      </c>
      <c r="E29" s="3">
        <v>9.4</v>
      </c>
      <c r="F29" s="3">
        <v>12.375</v>
      </c>
      <c r="G29" s="3">
        <v>22</v>
      </c>
      <c r="H29" s="3">
        <v>13.2</v>
      </c>
      <c r="I29" s="3">
        <v>9.1999999999999993</v>
      </c>
      <c r="L29" s="7">
        <v>24</v>
      </c>
      <c r="M29" s="15"/>
      <c r="N29" s="15">
        <v>19.8</v>
      </c>
      <c r="O29" s="15">
        <v>30</v>
      </c>
      <c r="P29" s="3">
        <v>14.4</v>
      </c>
      <c r="Q29" s="3">
        <v>33.200000000000003</v>
      </c>
      <c r="R29" s="3">
        <v>29.625</v>
      </c>
      <c r="S29" s="3">
        <v>21.900000000000002</v>
      </c>
      <c r="T29" s="3">
        <v>9.8999999999999986</v>
      </c>
    </row>
    <row r="30" spans="1:20" x14ac:dyDescent="0.25">
      <c r="A30" s="7">
        <v>25</v>
      </c>
      <c r="B30" s="15"/>
      <c r="C30" s="15">
        <v>13.5</v>
      </c>
      <c r="D30" s="15">
        <v>24.5</v>
      </c>
      <c r="E30" s="3">
        <v>8.4</v>
      </c>
      <c r="F30" s="3">
        <v>12.65</v>
      </c>
      <c r="G30" s="3">
        <v>22.274999999999999</v>
      </c>
      <c r="H30" s="3">
        <v>12.6</v>
      </c>
      <c r="I30" s="3">
        <v>9.3000000000000007</v>
      </c>
      <c r="L30" s="7">
        <v>25</v>
      </c>
      <c r="M30" s="15"/>
      <c r="N30" s="15">
        <v>18.7</v>
      </c>
      <c r="O30" s="15">
        <v>32.5</v>
      </c>
      <c r="P30" s="3">
        <v>13.6</v>
      </c>
      <c r="Q30" s="3">
        <v>30.4</v>
      </c>
      <c r="R30" s="3">
        <v>30</v>
      </c>
      <c r="S30" s="3">
        <v>22.799999999999997</v>
      </c>
      <c r="T30" s="3">
        <v>9.2999999999999989</v>
      </c>
    </row>
    <row r="31" spans="1:20" x14ac:dyDescent="0.25">
      <c r="A31" s="7">
        <v>26</v>
      </c>
      <c r="B31" s="15"/>
      <c r="C31" s="15">
        <v>14</v>
      </c>
      <c r="D31" s="15">
        <v>25</v>
      </c>
      <c r="E31" s="3">
        <v>8.4</v>
      </c>
      <c r="F31" s="3">
        <v>13</v>
      </c>
      <c r="G31" s="3">
        <v>20.625</v>
      </c>
      <c r="H31" s="3">
        <v>13.2</v>
      </c>
      <c r="I31" s="3">
        <v>9.3000000000000007</v>
      </c>
      <c r="L31" s="7">
        <v>26</v>
      </c>
      <c r="M31" s="15"/>
      <c r="N31" s="15">
        <v>21.45</v>
      </c>
      <c r="O31" s="15">
        <v>32.5</v>
      </c>
      <c r="P31" s="3">
        <v>14.4</v>
      </c>
      <c r="Q31" s="3">
        <v>26.4</v>
      </c>
      <c r="R31" s="3">
        <v>30.375</v>
      </c>
      <c r="S31" s="3">
        <v>22.799999999999997</v>
      </c>
      <c r="T31" s="3">
        <v>9.2999999999999989</v>
      </c>
    </row>
    <row r="32" spans="1:20" x14ac:dyDescent="0.25">
      <c r="A32" s="7">
        <v>27</v>
      </c>
      <c r="B32" s="15"/>
      <c r="C32" s="15">
        <v>14</v>
      </c>
      <c r="D32" s="15">
        <v>24</v>
      </c>
      <c r="E32" s="3">
        <v>9.1999999999999993</v>
      </c>
      <c r="F32" s="3">
        <v>13</v>
      </c>
      <c r="G32" s="3">
        <v>18.975000000000001</v>
      </c>
      <c r="H32" s="3">
        <v>13.8</v>
      </c>
      <c r="I32" s="3">
        <v>8.1000000000000014</v>
      </c>
      <c r="L32" s="7">
        <v>27</v>
      </c>
      <c r="M32" s="15"/>
      <c r="N32" s="15">
        <v>23.65</v>
      </c>
      <c r="O32" s="15">
        <v>34</v>
      </c>
      <c r="P32" s="3">
        <v>15.2</v>
      </c>
      <c r="Q32" s="3">
        <v>24.2</v>
      </c>
      <c r="R32" s="3">
        <v>30.375</v>
      </c>
      <c r="S32" s="3">
        <v>23.099999999999998</v>
      </c>
      <c r="T32" s="3">
        <v>13.250000000000002</v>
      </c>
    </row>
    <row r="33" spans="1:20" x14ac:dyDescent="0.25">
      <c r="A33" s="7">
        <v>28</v>
      </c>
      <c r="B33" s="15"/>
      <c r="C33" s="15">
        <v>14.75</v>
      </c>
      <c r="D33" s="15">
        <v>24.5</v>
      </c>
      <c r="E33" s="3">
        <v>8.6</v>
      </c>
      <c r="F33" s="3">
        <v>13.75</v>
      </c>
      <c r="G33" s="3">
        <v>18.975000000000001</v>
      </c>
      <c r="H33" s="3">
        <v>13.600000000000001</v>
      </c>
      <c r="I33" s="3">
        <v>7.9499999999999993</v>
      </c>
      <c r="L33" s="7">
        <v>28</v>
      </c>
      <c r="M33" s="15"/>
      <c r="N33" s="15">
        <v>23.65</v>
      </c>
      <c r="O33" s="15">
        <v>37</v>
      </c>
      <c r="P33" s="3">
        <v>15.6</v>
      </c>
      <c r="Q33" s="3">
        <v>24.2</v>
      </c>
      <c r="R33" s="3">
        <v>30.75</v>
      </c>
      <c r="S33" s="3">
        <v>24.599999999999998</v>
      </c>
      <c r="T33" s="3">
        <v>13</v>
      </c>
    </row>
    <row r="34" spans="1:20" x14ac:dyDescent="0.25">
      <c r="A34" s="7">
        <v>29</v>
      </c>
      <c r="B34" s="15"/>
      <c r="C34" s="15">
        <v>15.25</v>
      </c>
      <c r="D34" s="15">
        <v>24.5</v>
      </c>
      <c r="E34" s="3">
        <v>10.199999999999999</v>
      </c>
      <c r="F34" s="3">
        <v>13.5</v>
      </c>
      <c r="G34" s="3">
        <v>20.074999999999999</v>
      </c>
      <c r="H34" s="3">
        <v>11.8</v>
      </c>
      <c r="I34" s="3">
        <v>7.6499999999999995</v>
      </c>
      <c r="L34" s="7">
        <v>29</v>
      </c>
      <c r="M34" s="15"/>
      <c r="N34" s="15">
        <v>26.4</v>
      </c>
      <c r="O34" s="15">
        <v>37</v>
      </c>
      <c r="P34" s="3">
        <v>18.8</v>
      </c>
      <c r="Q34" s="3">
        <v>25.3</v>
      </c>
      <c r="R34" s="3">
        <v>31.875</v>
      </c>
      <c r="S34" s="3">
        <v>24.599999999999998</v>
      </c>
      <c r="T34" s="3">
        <v>12.5</v>
      </c>
    </row>
    <row r="35" spans="1:20" x14ac:dyDescent="0.25">
      <c r="A35" s="7">
        <v>30</v>
      </c>
      <c r="B35" s="15"/>
      <c r="C35" s="15">
        <v>18.600000000000001</v>
      </c>
      <c r="D35" s="15">
        <v>26.5</v>
      </c>
      <c r="E35" s="3">
        <v>10.199999999999999</v>
      </c>
      <c r="F35" s="3">
        <v>13.5</v>
      </c>
      <c r="G35" s="3">
        <v>20.9</v>
      </c>
      <c r="H35" s="3">
        <v>11</v>
      </c>
      <c r="I35" s="3">
        <v>7.5</v>
      </c>
      <c r="L35" s="7">
        <v>30</v>
      </c>
      <c r="M35" s="15"/>
      <c r="N35" s="15">
        <v>27.6</v>
      </c>
      <c r="O35" s="15">
        <v>39</v>
      </c>
      <c r="P35" s="3">
        <v>22</v>
      </c>
      <c r="Q35" s="3">
        <v>25.3</v>
      </c>
      <c r="R35" s="3">
        <v>33</v>
      </c>
      <c r="S35" s="3">
        <v>25.8</v>
      </c>
      <c r="T35" s="3">
        <v>14.5</v>
      </c>
    </row>
    <row r="36" spans="1:20" x14ac:dyDescent="0.25">
      <c r="A36" s="7">
        <v>31</v>
      </c>
      <c r="B36" s="15"/>
      <c r="C36" s="15">
        <v>18.2</v>
      </c>
      <c r="D36" s="15">
        <v>25.25</v>
      </c>
      <c r="E36" s="3">
        <v>11.2</v>
      </c>
      <c r="F36" s="3">
        <v>12.5</v>
      </c>
      <c r="G36" s="3">
        <v>21.45</v>
      </c>
      <c r="H36" s="3">
        <v>10.4</v>
      </c>
      <c r="I36" s="3">
        <v>6.6</v>
      </c>
      <c r="L36" s="7">
        <v>31</v>
      </c>
      <c r="M36" s="15"/>
      <c r="N36" s="15">
        <v>27</v>
      </c>
      <c r="O36" s="15">
        <v>42.5</v>
      </c>
      <c r="P36" s="3">
        <v>23.2</v>
      </c>
      <c r="Q36" s="3">
        <v>26.4</v>
      </c>
      <c r="R36" s="3">
        <v>32.25</v>
      </c>
      <c r="S36" s="3">
        <v>24.3</v>
      </c>
      <c r="T36" s="3">
        <v>16.75</v>
      </c>
    </row>
    <row r="37" spans="1:20" x14ac:dyDescent="0.25">
      <c r="A37" s="7">
        <v>32</v>
      </c>
      <c r="B37" s="15"/>
      <c r="C37" s="15">
        <v>18.2</v>
      </c>
      <c r="D37" s="15">
        <v>24.5</v>
      </c>
      <c r="E37" s="3">
        <v>11</v>
      </c>
      <c r="F37" s="3">
        <v>13.25</v>
      </c>
      <c r="G37" s="3">
        <v>22.274999999999999</v>
      </c>
      <c r="H37" s="3">
        <v>10.199999999999999</v>
      </c>
      <c r="I37" s="3">
        <v>7.2</v>
      </c>
      <c r="L37" s="7">
        <v>32</v>
      </c>
      <c r="M37" s="15"/>
      <c r="N37" s="15">
        <v>27</v>
      </c>
      <c r="O37" s="15">
        <v>42</v>
      </c>
      <c r="P37" s="3">
        <v>24</v>
      </c>
      <c r="Q37" s="3">
        <v>28.05</v>
      </c>
      <c r="R37" s="3">
        <v>33.75</v>
      </c>
      <c r="S37" s="3">
        <v>24.6</v>
      </c>
      <c r="T37" s="3">
        <v>17.25</v>
      </c>
    </row>
    <row r="38" spans="1:20" x14ac:dyDescent="0.25">
      <c r="A38" s="7">
        <v>33</v>
      </c>
      <c r="B38" s="15"/>
      <c r="C38" s="15">
        <v>18.8</v>
      </c>
      <c r="D38" s="15">
        <v>25</v>
      </c>
      <c r="E38" s="3">
        <v>11.8</v>
      </c>
      <c r="F38" s="3">
        <v>15</v>
      </c>
      <c r="G38" s="3">
        <v>23.65</v>
      </c>
      <c r="H38" s="3">
        <v>10.6</v>
      </c>
      <c r="I38" s="3">
        <v>7.2</v>
      </c>
      <c r="L38" s="7">
        <v>33</v>
      </c>
      <c r="M38" s="15"/>
      <c r="N38" s="15">
        <v>28.2</v>
      </c>
      <c r="O38" s="15">
        <v>43.5</v>
      </c>
      <c r="P38" s="3">
        <v>26.4</v>
      </c>
      <c r="Q38" s="3">
        <v>29.7</v>
      </c>
      <c r="R38" s="3">
        <v>35.25</v>
      </c>
      <c r="S38" s="3">
        <v>25.8</v>
      </c>
      <c r="T38" s="3">
        <v>17.25</v>
      </c>
    </row>
    <row r="39" spans="1:20" x14ac:dyDescent="0.25">
      <c r="A39" s="7">
        <v>34</v>
      </c>
      <c r="B39" s="15"/>
      <c r="C39" s="15">
        <v>18.600000000000001</v>
      </c>
      <c r="D39" s="15">
        <v>25.25</v>
      </c>
      <c r="E39" s="3">
        <v>12</v>
      </c>
      <c r="F39" s="3">
        <v>15.75</v>
      </c>
      <c r="G39" s="3">
        <v>23.925000000000001</v>
      </c>
      <c r="H39" s="3">
        <v>11.2</v>
      </c>
      <c r="I39" s="3">
        <v>7.65</v>
      </c>
      <c r="L39" s="7">
        <v>34</v>
      </c>
      <c r="M39" s="15"/>
      <c r="N39" s="15">
        <v>28.8</v>
      </c>
      <c r="O39" s="15">
        <v>45</v>
      </c>
      <c r="P39" s="3">
        <v>28.8</v>
      </c>
      <c r="Q39" s="3">
        <v>28.6</v>
      </c>
      <c r="R39" s="3">
        <v>36</v>
      </c>
      <c r="S39" s="3">
        <v>27</v>
      </c>
      <c r="T39" s="3">
        <v>19.75</v>
      </c>
    </row>
    <row r="40" spans="1:20" x14ac:dyDescent="0.25">
      <c r="A40" s="7">
        <v>35</v>
      </c>
      <c r="B40" s="15"/>
      <c r="C40" s="15">
        <v>18.8</v>
      </c>
      <c r="D40" s="15">
        <v>24.25</v>
      </c>
      <c r="E40" s="3">
        <v>14</v>
      </c>
      <c r="F40" s="3">
        <v>15.75</v>
      </c>
      <c r="G40" s="3">
        <v>23.65</v>
      </c>
      <c r="H40" s="3">
        <v>11.4</v>
      </c>
      <c r="I40" s="3">
        <v>6.9</v>
      </c>
      <c r="L40" s="7">
        <v>35</v>
      </c>
      <c r="M40" s="15"/>
      <c r="N40" s="15">
        <v>30</v>
      </c>
      <c r="O40" s="15">
        <v>46.5</v>
      </c>
      <c r="P40" s="3">
        <v>30.4</v>
      </c>
      <c r="Q40" s="3">
        <v>29.15</v>
      </c>
      <c r="R40" s="3">
        <v>36</v>
      </c>
      <c r="S40" s="3">
        <v>26.7</v>
      </c>
      <c r="T40" s="3">
        <v>20.75</v>
      </c>
    </row>
    <row r="41" spans="1:20" x14ac:dyDescent="0.25">
      <c r="A41" s="7">
        <v>36</v>
      </c>
      <c r="B41" s="15"/>
      <c r="C41" s="15">
        <v>18.8</v>
      </c>
      <c r="D41" s="15">
        <v>22.8</v>
      </c>
      <c r="E41" s="3">
        <v>14.2</v>
      </c>
      <c r="F41" s="3">
        <v>15.75</v>
      </c>
      <c r="G41" s="3">
        <v>23.1</v>
      </c>
      <c r="H41" s="3">
        <v>12.6</v>
      </c>
      <c r="I41" s="3">
        <v>7.5</v>
      </c>
      <c r="L41" s="7">
        <v>36</v>
      </c>
      <c r="M41" s="15"/>
      <c r="N41" s="15">
        <v>30.6</v>
      </c>
      <c r="O41" s="15">
        <v>47</v>
      </c>
      <c r="P41" s="3">
        <v>31.2</v>
      </c>
      <c r="Q41" s="3">
        <v>28.6</v>
      </c>
      <c r="R41" s="3">
        <v>37.5</v>
      </c>
      <c r="S41" s="3">
        <v>27</v>
      </c>
      <c r="T41" s="3">
        <v>19.25</v>
      </c>
    </row>
    <row r="42" spans="1:20" x14ac:dyDescent="0.25">
      <c r="A42" s="7">
        <v>37</v>
      </c>
      <c r="B42" s="15"/>
      <c r="C42" s="15">
        <v>19.2</v>
      </c>
      <c r="D42" s="15">
        <v>22.4</v>
      </c>
      <c r="E42" s="3">
        <v>15.4</v>
      </c>
      <c r="F42" s="3">
        <v>16.25</v>
      </c>
      <c r="G42" s="3">
        <v>23.925000000000001</v>
      </c>
      <c r="H42" s="3">
        <v>14.6</v>
      </c>
      <c r="I42" s="3">
        <v>7.95</v>
      </c>
      <c r="L42" s="7">
        <v>37</v>
      </c>
      <c r="M42" s="15"/>
      <c r="N42" s="15">
        <v>31.2</v>
      </c>
      <c r="O42" s="15">
        <v>48</v>
      </c>
      <c r="P42" s="3">
        <v>34.4</v>
      </c>
      <c r="Q42" s="3">
        <v>29.15</v>
      </c>
      <c r="R42" s="3">
        <v>37.875</v>
      </c>
      <c r="S42" s="3">
        <v>26.7</v>
      </c>
      <c r="T42" s="3">
        <v>19</v>
      </c>
    </row>
    <row r="43" spans="1:20" x14ac:dyDescent="0.25">
      <c r="A43" s="7">
        <v>38</v>
      </c>
      <c r="B43" s="15"/>
      <c r="C43" s="15">
        <v>20.6</v>
      </c>
      <c r="D43" s="15">
        <v>22</v>
      </c>
      <c r="E43" s="3">
        <v>17.8</v>
      </c>
      <c r="F43" s="3">
        <v>16.75</v>
      </c>
      <c r="G43" s="3">
        <v>23.925000000000001</v>
      </c>
      <c r="H43" s="3">
        <v>14.6</v>
      </c>
      <c r="I43" s="3">
        <v>7.95</v>
      </c>
      <c r="L43" s="7">
        <v>38</v>
      </c>
      <c r="M43" s="15"/>
      <c r="N43" s="15">
        <v>30</v>
      </c>
      <c r="O43" s="15">
        <v>48</v>
      </c>
      <c r="P43" s="3">
        <v>35.200000000000003</v>
      </c>
      <c r="Q43" s="3">
        <v>31.35</v>
      </c>
      <c r="R43" s="3">
        <v>40.875</v>
      </c>
      <c r="S43" s="3">
        <v>27.9</v>
      </c>
      <c r="T43" s="3">
        <v>19</v>
      </c>
    </row>
    <row r="44" spans="1:20" x14ac:dyDescent="0.25">
      <c r="A44" s="7">
        <v>39</v>
      </c>
      <c r="B44" s="15"/>
      <c r="C44" s="15">
        <v>20.2</v>
      </c>
      <c r="D44" s="15">
        <v>21.6</v>
      </c>
      <c r="E44" s="3">
        <v>21.4</v>
      </c>
      <c r="F44" s="3">
        <v>16.5</v>
      </c>
      <c r="G44" s="3">
        <v>23.925000000000001</v>
      </c>
      <c r="H44" s="3">
        <v>15</v>
      </c>
      <c r="I44" s="3">
        <v>9.6</v>
      </c>
      <c r="L44" s="7">
        <v>39</v>
      </c>
      <c r="M44" s="15"/>
      <c r="N44" s="15">
        <v>33</v>
      </c>
      <c r="O44" s="15">
        <v>50</v>
      </c>
      <c r="P44" s="3">
        <v>37.200000000000003</v>
      </c>
      <c r="Q44" s="3">
        <v>34.65</v>
      </c>
      <c r="R44" s="3">
        <v>41.25</v>
      </c>
      <c r="S44" s="3">
        <v>31.2</v>
      </c>
      <c r="T44" s="3">
        <v>17.5</v>
      </c>
    </row>
    <row r="45" spans="1:20" x14ac:dyDescent="0.25">
      <c r="A45" s="7">
        <v>40</v>
      </c>
      <c r="B45" s="15"/>
      <c r="C45" s="15">
        <v>21.6</v>
      </c>
      <c r="D45" s="15">
        <v>23</v>
      </c>
      <c r="E45" s="3">
        <v>23</v>
      </c>
      <c r="F45" s="3">
        <v>16</v>
      </c>
      <c r="G45" s="3">
        <v>25.024999999999999</v>
      </c>
      <c r="H45" s="3">
        <v>15.6</v>
      </c>
      <c r="I45" s="3">
        <v>9.75</v>
      </c>
      <c r="L45" s="7">
        <v>40</v>
      </c>
      <c r="M45" s="15"/>
      <c r="N45" s="15">
        <v>33</v>
      </c>
      <c r="O45" s="15">
        <v>55.5</v>
      </c>
      <c r="P45" s="3">
        <v>40.4</v>
      </c>
      <c r="Q45" s="3">
        <v>34.1</v>
      </c>
      <c r="R45" s="3">
        <v>41.25</v>
      </c>
      <c r="S45" s="3">
        <v>29.7</v>
      </c>
      <c r="T45" s="3">
        <v>16.75</v>
      </c>
    </row>
    <row r="46" spans="1:20" x14ac:dyDescent="0.25">
      <c r="A46" s="7">
        <v>41</v>
      </c>
      <c r="B46" s="15"/>
      <c r="C46" s="15">
        <v>21.6</v>
      </c>
      <c r="D46" s="15">
        <v>22.6</v>
      </c>
      <c r="E46" s="3">
        <v>23.4</v>
      </c>
      <c r="F46" s="3">
        <v>17.75</v>
      </c>
      <c r="G46" s="3">
        <v>25.024999999999999</v>
      </c>
      <c r="H46" s="3">
        <v>16.600000000000001</v>
      </c>
      <c r="I46" s="3">
        <v>9.15</v>
      </c>
      <c r="L46" s="7">
        <v>41</v>
      </c>
      <c r="M46" s="15"/>
      <c r="N46" s="15">
        <v>36</v>
      </c>
      <c r="O46" s="15">
        <v>48.5</v>
      </c>
      <c r="P46" s="3">
        <v>41.6</v>
      </c>
      <c r="Q46" s="3">
        <v>33.549999999999997</v>
      </c>
      <c r="R46" s="3">
        <v>40.125</v>
      </c>
      <c r="S46" s="3">
        <v>30.6</v>
      </c>
      <c r="T46" s="3">
        <v>16.75</v>
      </c>
    </row>
    <row r="47" spans="1:20" x14ac:dyDescent="0.25">
      <c r="A47" s="7">
        <v>42</v>
      </c>
      <c r="B47" s="15"/>
      <c r="C47" s="15">
        <v>22.4</v>
      </c>
      <c r="D47" s="15">
        <v>21</v>
      </c>
      <c r="E47" s="3">
        <v>25.6</v>
      </c>
      <c r="F47" s="3">
        <v>18.5</v>
      </c>
      <c r="G47" s="3">
        <v>24.75</v>
      </c>
      <c r="H47" s="3">
        <v>17.600000000000001</v>
      </c>
      <c r="I47" s="3">
        <v>8.6999999999999993</v>
      </c>
      <c r="L47" s="7">
        <v>42</v>
      </c>
      <c r="M47" s="15"/>
      <c r="N47" s="15">
        <v>37.799999999999997</v>
      </c>
      <c r="O47" s="15">
        <v>46.5</v>
      </c>
      <c r="P47" s="3">
        <v>45.6</v>
      </c>
      <c r="Q47" s="3">
        <v>35.200000000000003</v>
      </c>
      <c r="R47" s="3">
        <v>41.25</v>
      </c>
      <c r="S47" s="3">
        <v>32.9</v>
      </c>
      <c r="T47" s="3">
        <v>16.5</v>
      </c>
    </row>
    <row r="48" spans="1:20" x14ac:dyDescent="0.25">
      <c r="A48" s="7">
        <v>43</v>
      </c>
      <c r="B48" s="15"/>
      <c r="C48" s="15">
        <v>22.6</v>
      </c>
      <c r="D48" s="15">
        <v>20</v>
      </c>
      <c r="E48" s="3">
        <v>25.2</v>
      </c>
      <c r="F48" s="3">
        <v>18.25</v>
      </c>
      <c r="G48" s="3">
        <v>23.65</v>
      </c>
      <c r="H48" s="3">
        <v>18.399999999999999</v>
      </c>
      <c r="I48" s="3">
        <v>12</v>
      </c>
      <c r="L48" s="7">
        <v>43</v>
      </c>
      <c r="M48" s="15"/>
      <c r="N48" s="15">
        <v>36.6</v>
      </c>
      <c r="O48" s="15">
        <v>44.5</v>
      </c>
      <c r="P48" s="3">
        <v>46</v>
      </c>
      <c r="Q48" s="3">
        <v>34.1</v>
      </c>
      <c r="R48" s="3">
        <v>41.25</v>
      </c>
      <c r="S48" s="3">
        <v>33.6</v>
      </c>
      <c r="T48" s="3">
        <v>19.2</v>
      </c>
    </row>
    <row r="49" spans="1:20" x14ac:dyDescent="0.25">
      <c r="A49" s="7">
        <v>44</v>
      </c>
      <c r="B49" s="15"/>
      <c r="C49" s="15">
        <v>23.4</v>
      </c>
      <c r="D49" s="15">
        <v>19.399999999999999</v>
      </c>
      <c r="E49" s="3">
        <v>24.4</v>
      </c>
      <c r="F49" s="3">
        <v>17.600000000000001</v>
      </c>
      <c r="G49" s="3">
        <v>23.375</v>
      </c>
      <c r="H49" s="3">
        <v>17</v>
      </c>
      <c r="I49" s="3">
        <v>12</v>
      </c>
      <c r="L49" s="7">
        <v>44</v>
      </c>
      <c r="M49" s="15"/>
      <c r="N49" s="15">
        <v>37.200000000000003</v>
      </c>
      <c r="O49" s="15">
        <v>42.5</v>
      </c>
      <c r="P49" s="3">
        <v>44</v>
      </c>
      <c r="Q49" s="3">
        <v>32.450000000000003</v>
      </c>
      <c r="R49" s="3">
        <v>42.75</v>
      </c>
      <c r="S49" s="3">
        <v>31.15</v>
      </c>
      <c r="T49" s="3">
        <v>19.2</v>
      </c>
    </row>
    <row r="50" spans="1:20" x14ac:dyDescent="0.25">
      <c r="A50" s="7">
        <v>45</v>
      </c>
      <c r="B50" s="15"/>
      <c r="C50" s="15">
        <v>22.6</v>
      </c>
      <c r="D50" s="15">
        <v>18.8</v>
      </c>
      <c r="E50" s="3">
        <v>24.2</v>
      </c>
      <c r="F50" s="3">
        <v>16.100000000000001</v>
      </c>
      <c r="G50" s="3">
        <v>26.4</v>
      </c>
      <c r="H50" s="3">
        <v>18.8</v>
      </c>
      <c r="I50" s="3">
        <v>14</v>
      </c>
      <c r="L50" s="7">
        <v>45</v>
      </c>
      <c r="M50" s="15"/>
      <c r="N50" s="15">
        <v>34.799999999999997</v>
      </c>
      <c r="O50" s="15">
        <v>40</v>
      </c>
      <c r="P50" s="3">
        <v>44.8</v>
      </c>
      <c r="Q50" s="3">
        <v>31.8</v>
      </c>
      <c r="R50" s="3">
        <v>46.5</v>
      </c>
      <c r="S50" s="3">
        <v>30.45</v>
      </c>
      <c r="T50" s="3">
        <v>21</v>
      </c>
    </row>
    <row r="51" spans="1:20" x14ac:dyDescent="0.25">
      <c r="A51" s="7">
        <v>46</v>
      </c>
      <c r="B51" s="15"/>
      <c r="C51" s="15">
        <v>22.4</v>
      </c>
      <c r="D51" s="15">
        <v>20.6</v>
      </c>
      <c r="E51" s="3">
        <v>24.6</v>
      </c>
      <c r="F51" s="3">
        <v>15.378</v>
      </c>
      <c r="G51" s="3">
        <v>25.3</v>
      </c>
      <c r="H51" s="3">
        <v>18.8</v>
      </c>
      <c r="I51" s="3">
        <v>14.8</v>
      </c>
      <c r="L51" s="7">
        <v>46</v>
      </c>
      <c r="M51" s="15"/>
      <c r="N51" s="15">
        <v>34.200000000000003</v>
      </c>
      <c r="O51" s="15">
        <v>48.5</v>
      </c>
      <c r="P51" s="3">
        <v>43.2</v>
      </c>
      <c r="Q51" s="3">
        <v>30.617999999999999</v>
      </c>
      <c r="R51" s="3">
        <v>50</v>
      </c>
      <c r="S51" s="3">
        <v>29.75</v>
      </c>
      <c r="T51" s="3">
        <v>20.100000000000001</v>
      </c>
    </row>
    <row r="52" spans="1:20" x14ac:dyDescent="0.25">
      <c r="A52" s="7">
        <v>47</v>
      </c>
      <c r="B52" s="15"/>
      <c r="C52" s="15">
        <v>21.2</v>
      </c>
      <c r="D52" s="15">
        <v>20</v>
      </c>
      <c r="E52" s="3">
        <v>24</v>
      </c>
      <c r="F52" s="3">
        <v>13.98</v>
      </c>
      <c r="G52" s="3">
        <v>27.5</v>
      </c>
      <c r="H52" s="3">
        <v>19.600000000000001</v>
      </c>
      <c r="I52" s="3">
        <v>14.6</v>
      </c>
      <c r="L52" s="7">
        <v>47</v>
      </c>
      <c r="M52" s="15"/>
      <c r="N52" s="15">
        <v>33</v>
      </c>
      <c r="O52" s="15">
        <v>44.5</v>
      </c>
      <c r="P52" s="3">
        <v>41.2</v>
      </c>
      <c r="Q52" s="3">
        <v>31.18</v>
      </c>
      <c r="R52" s="3">
        <v>48.4</v>
      </c>
      <c r="S52" s="3">
        <v>29.05</v>
      </c>
      <c r="T52" s="3">
        <v>19.5</v>
      </c>
    </row>
    <row r="53" spans="1:20" x14ac:dyDescent="0.25">
      <c r="A53" s="7">
        <v>48</v>
      </c>
      <c r="B53" s="15"/>
      <c r="C53" s="15">
        <v>19.8</v>
      </c>
      <c r="D53" s="15">
        <v>19.600000000000001</v>
      </c>
      <c r="E53" s="3">
        <v>23.8</v>
      </c>
      <c r="F53" s="3">
        <v>12.11</v>
      </c>
      <c r="G53" s="3">
        <v>26.125</v>
      </c>
      <c r="H53" s="3">
        <v>18.8</v>
      </c>
      <c r="I53" s="3">
        <v>14.6</v>
      </c>
      <c r="L53" s="7">
        <v>48</v>
      </c>
      <c r="M53" s="15"/>
      <c r="N53" s="15">
        <v>30.5</v>
      </c>
      <c r="O53" s="15">
        <v>43</v>
      </c>
      <c r="P53" s="3">
        <v>42.4</v>
      </c>
      <c r="Q53" s="3">
        <v>27.78</v>
      </c>
      <c r="R53" s="3">
        <v>47.6</v>
      </c>
      <c r="S53" s="3">
        <v>28</v>
      </c>
      <c r="T53" s="3">
        <v>19.5</v>
      </c>
    </row>
    <row r="54" spans="1:20" x14ac:dyDescent="0.25">
      <c r="A54" s="7">
        <v>49</v>
      </c>
      <c r="B54" s="15"/>
      <c r="C54" s="15">
        <v>18.8</v>
      </c>
      <c r="D54" s="15">
        <v>20.2</v>
      </c>
      <c r="E54" s="3">
        <v>23.6</v>
      </c>
      <c r="F54" s="3">
        <v>10.951000000000001</v>
      </c>
      <c r="G54" s="3">
        <v>25.024999999999999</v>
      </c>
      <c r="H54" s="3">
        <v>18.600000000000001</v>
      </c>
      <c r="I54" s="3">
        <v>14.6</v>
      </c>
      <c r="L54" s="7">
        <v>49</v>
      </c>
      <c r="M54" s="15"/>
      <c r="N54" s="15">
        <v>29</v>
      </c>
      <c r="O54" s="15">
        <v>41.5</v>
      </c>
      <c r="P54" s="3">
        <v>41.2</v>
      </c>
      <c r="Q54" s="3">
        <v>24.948</v>
      </c>
      <c r="R54" s="3">
        <v>47.2</v>
      </c>
      <c r="S54" s="3">
        <v>26.95</v>
      </c>
      <c r="T54" s="3">
        <v>20.399999999999999</v>
      </c>
    </row>
    <row r="55" spans="1:20" x14ac:dyDescent="0.25">
      <c r="A55" s="7">
        <v>50</v>
      </c>
      <c r="B55" s="15"/>
      <c r="C55" s="15"/>
      <c r="D55" s="15">
        <v>20.399999999999999</v>
      </c>
      <c r="E55" s="3">
        <v>23.2</v>
      </c>
      <c r="F55" s="3">
        <v>10.8</v>
      </c>
      <c r="G55" s="3">
        <v>27.5</v>
      </c>
      <c r="H55" s="3">
        <v>17.8</v>
      </c>
      <c r="I55" s="3">
        <v>14.2</v>
      </c>
      <c r="L55" s="7">
        <v>50</v>
      </c>
      <c r="M55" s="15"/>
      <c r="N55" s="15"/>
      <c r="O55" s="15">
        <v>41.5</v>
      </c>
      <c r="P55" s="3">
        <v>41.6</v>
      </c>
      <c r="Q55" s="3">
        <v>26.5</v>
      </c>
      <c r="R55" s="3">
        <v>61.6</v>
      </c>
      <c r="S55" s="3">
        <v>25.2</v>
      </c>
      <c r="T55" s="3">
        <v>18.899999999999999</v>
      </c>
    </row>
    <row r="56" spans="1:20" x14ac:dyDescent="0.25">
      <c r="A56" s="7">
        <v>51</v>
      </c>
      <c r="B56" s="15"/>
      <c r="C56" s="15">
        <v>15.6</v>
      </c>
      <c r="D56" s="15">
        <v>19.399999999999999</v>
      </c>
      <c r="E56" s="3">
        <v>23</v>
      </c>
      <c r="F56" s="3">
        <v>9.8000000000000007</v>
      </c>
      <c r="G56" s="3">
        <v>27.774999999999999</v>
      </c>
      <c r="H56" s="3">
        <v>20.63</v>
      </c>
      <c r="I56" s="3">
        <v>12.8</v>
      </c>
      <c r="L56" s="7">
        <v>51</v>
      </c>
      <c r="M56" s="15"/>
      <c r="N56" s="15">
        <v>24.5</v>
      </c>
      <c r="O56" s="15">
        <v>39</v>
      </c>
      <c r="P56" s="3">
        <v>40</v>
      </c>
      <c r="Q56" s="3">
        <v>24.5</v>
      </c>
      <c r="R56" s="3">
        <v>58.4</v>
      </c>
      <c r="S56" s="3">
        <v>36.729999999999997</v>
      </c>
      <c r="T56" s="3">
        <v>17.7</v>
      </c>
    </row>
    <row r="57" spans="1:20" x14ac:dyDescent="0.25">
      <c r="A57" s="7">
        <v>52</v>
      </c>
      <c r="B57" s="15"/>
      <c r="C57" s="15">
        <v>15.6</v>
      </c>
      <c r="D57" s="15">
        <v>18.2</v>
      </c>
      <c r="E57" s="3"/>
      <c r="F57" s="3">
        <v>9.6</v>
      </c>
      <c r="G57" s="3">
        <v>26.95</v>
      </c>
      <c r="H57" s="3">
        <v>20.63</v>
      </c>
      <c r="I57" s="3">
        <v>12.4</v>
      </c>
      <c r="L57" s="7">
        <v>52</v>
      </c>
      <c r="M57" s="15"/>
      <c r="N57" s="15">
        <v>35</v>
      </c>
      <c r="O57" s="15">
        <v>35.5</v>
      </c>
      <c r="P57" s="3"/>
      <c r="Q57" s="3">
        <v>25</v>
      </c>
      <c r="R57" s="3">
        <v>56.4</v>
      </c>
      <c r="S57" s="3">
        <v>35.43</v>
      </c>
      <c r="T57" s="3">
        <v>16.8</v>
      </c>
    </row>
  </sheetData>
  <pageMargins left="0.2" right="0.2" top="0.25" bottom="0.25" header="0.3" footer="0.3"/>
  <pageSetup scale="8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B6976F-961D-4902-B705-F78174B21C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</vt:lpstr>
      <vt:lpstr>Chart!Print_Area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Seely</dc:creator>
  <cp:lastModifiedBy>Savannah Sadowski</cp:lastModifiedBy>
  <cp:lastPrinted>2022-08-01T17:46:43Z</cp:lastPrinted>
  <dcterms:created xsi:type="dcterms:W3CDTF">2020-06-23T17:02:41Z</dcterms:created>
  <dcterms:modified xsi:type="dcterms:W3CDTF">2026-03-03T17:50:48Z</dcterms:modified>
</cp:coreProperties>
</file>